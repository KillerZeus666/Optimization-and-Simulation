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lasingenieria\Downloads\Optimizacion\Clase3\"/>
    </mc:Choice>
  </mc:AlternateContent>
  <xr:revisionPtr revIDLastSave="0" documentId="8_{29EC7E3E-FD4A-4DD4-9A35-B720335CF321}" xr6:coauthVersionLast="47" xr6:coauthVersionMax="47" xr10:uidLastSave="{00000000-0000-0000-0000-000000000000}"/>
  <bookViews>
    <workbookView xWindow="2295" yWindow="2295" windowWidth="15375" windowHeight="7785" xr2:uid="{B1A27301-67EC-4BB4-A573-6B508E22A749}"/>
  </bookViews>
  <sheets>
    <sheet name="Hoja1" sheetId="1" r:id="rId1"/>
  </sheets>
  <definedNames>
    <definedName name="solver_adj" localSheetId="0" hidden="1">Hoja1!$C$4:$K$4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Hoja1!$M$10</definedName>
    <definedName name="solver_lhs2" localSheetId="0" hidden="1">Hoja1!$M$11</definedName>
    <definedName name="solver_lhs3" localSheetId="0" hidden="1">Hoja1!$M$12</definedName>
    <definedName name="solver_lhs4" localSheetId="0" hidden="1">Hoja1!$M$13</definedName>
    <definedName name="solver_lhs5" localSheetId="0" hidden="1">Hoja1!$M$8</definedName>
    <definedName name="solver_lhs6" localSheetId="0" hidden="1">Hoja1!$M$9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Hoja1!$M$4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hs1" localSheetId="0" hidden="1">Hoja1!$O$10</definedName>
    <definedName name="solver_rhs2" localSheetId="0" hidden="1">Hoja1!$O$11</definedName>
    <definedName name="solver_rhs3" localSheetId="0" hidden="1">Hoja1!$O$12</definedName>
    <definedName name="solver_rhs4" localSheetId="0" hidden="1">Hoja1!$O$13</definedName>
    <definedName name="solver_rhs5" localSheetId="0" hidden="1">Hoja1!$O$8</definedName>
    <definedName name="solver_rhs6" localSheetId="0" hidden="1">Hoja1!$O$9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3" i="1" l="1"/>
  <c r="M13" i="1"/>
  <c r="O12" i="1"/>
  <c r="M12" i="1"/>
  <c r="O11" i="1"/>
  <c r="M11" i="1"/>
  <c r="O10" i="1"/>
  <c r="M10" i="1"/>
  <c r="O9" i="1"/>
  <c r="M9" i="1"/>
  <c r="O8" i="1"/>
  <c r="M8" i="1"/>
  <c r="M4" i="1"/>
</calcChain>
</file>

<file path=xl/sharedStrings.xml><?xml version="1.0" encoding="utf-8"?>
<sst xmlns="http://schemas.openxmlformats.org/spreadsheetml/2006/main" count="34" uniqueCount="24">
  <si>
    <t>Variables de Decisión</t>
  </si>
  <si>
    <t>X12</t>
  </si>
  <si>
    <t>X13</t>
  </si>
  <si>
    <t>X14</t>
  </si>
  <si>
    <t>X23</t>
  </si>
  <si>
    <t>X25</t>
  </si>
  <si>
    <t>X36</t>
  </si>
  <si>
    <t>X43</t>
  </si>
  <si>
    <t>X56</t>
  </si>
  <si>
    <t>Costo</t>
  </si>
  <si>
    <t>X46</t>
  </si>
  <si>
    <t>FO</t>
  </si>
  <si>
    <t>F desde Origen</t>
  </si>
  <si>
    <t>N2</t>
  </si>
  <si>
    <t>N3</t>
  </si>
  <si>
    <t>N4</t>
  </si>
  <si>
    <t>N5</t>
  </si>
  <si>
    <t>F al Destino</t>
  </si>
  <si>
    <t>=</t>
  </si>
  <si>
    <t>LI</t>
  </si>
  <si>
    <t>Igual</t>
  </si>
  <si>
    <t>LD</t>
  </si>
  <si>
    <t>Ecuaciones de balance y equilibrio</t>
  </si>
  <si>
    <t>1 Da, -1 Recibe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</si>
</sst>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2684-11F0-4EF0-A8C0-AA225247DD19}">
  <dimension ref="B3:R13"/>
  <sheetViews>
    <sheetView tabSelected="1" workbookViewId="0">
      <selection activeCell="I11" sqref="I11"/>
    </sheetView>
  </sheetViews>
  <sheetFormatPr baseColWidth="10" defaultRowHeight="15" x14ac:dyDescent="0.25"/>
  <cols>
    <col min="1" max="1" width="14.7109375" customWidth="1"/>
    <col min="2" max="2" width="12.7109375" customWidth="1"/>
    <col min="3" max="3" width="5.140625" customWidth="1"/>
    <col min="4" max="4" width="6.140625" customWidth="1"/>
    <col min="5" max="5" width="5.5703125" customWidth="1"/>
    <col min="6" max="6" width="6" customWidth="1"/>
    <col min="7" max="7" width="6.42578125" customWidth="1"/>
    <col min="8" max="8" width="6.28515625" customWidth="1"/>
    <col min="9" max="9" width="6.140625" customWidth="1"/>
    <col min="10" max="10" width="6.85546875" customWidth="1"/>
    <col min="11" max="11" width="6.42578125" customWidth="1"/>
    <col min="13" max="13" width="10.28515625" customWidth="1"/>
    <col min="14" max="14" width="10.140625" customWidth="1"/>
    <col min="15" max="15" width="9.7109375" customWidth="1"/>
  </cols>
  <sheetData>
    <row r="3" spans="2:18" x14ac:dyDescent="0.25">
      <c r="B3" s="6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10</v>
      </c>
      <c r="K3" s="3" t="s">
        <v>8</v>
      </c>
      <c r="L3" s="4"/>
      <c r="M3" s="3" t="s">
        <v>11</v>
      </c>
      <c r="O3" s="8" t="s">
        <v>23</v>
      </c>
      <c r="Q3" s="9" t="s">
        <v>22</v>
      </c>
      <c r="R3" s="9"/>
    </row>
    <row r="4" spans="2:18" x14ac:dyDescent="0.25">
      <c r="B4" s="7"/>
      <c r="C4" s="3">
        <v>180</v>
      </c>
      <c r="D4" s="3">
        <v>0</v>
      </c>
      <c r="E4" s="3">
        <v>0</v>
      </c>
      <c r="F4" s="3">
        <v>0</v>
      </c>
      <c r="G4" s="3">
        <v>180</v>
      </c>
      <c r="H4" s="3">
        <v>0</v>
      </c>
      <c r="I4" s="3">
        <v>0</v>
      </c>
      <c r="J4" s="3">
        <v>0</v>
      </c>
      <c r="K4" s="3">
        <v>180</v>
      </c>
      <c r="L4" s="4"/>
      <c r="M4" s="3">
        <f>SUMPRODUCT(C4:K4,C6:K6)</f>
        <v>2340</v>
      </c>
      <c r="O4" s="8"/>
      <c r="Q4" s="9"/>
      <c r="R4" s="9"/>
    </row>
    <row r="5" spans="2:18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2:18" x14ac:dyDescent="0.25">
      <c r="B6" s="3" t="s">
        <v>9</v>
      </c>
      <c r="C6" s="3">
        <v>3</v>
      </c>
      <c r="D6" s="3">
        <v>5</v>
      </c>
      <c r="E6" s="3">
        <v>9</v>
      </c>
      <c r="F6" s="3">
        <v>4</v>
      </c>
      <c r="G6" s="3">
        <v>4</v>
      </c>
      <c r="H6" s="3">
        <v>10</v>
      </c>
      <c r="I6" s="3">
        <v>6</v>
      </c>
      <c r="J6" s="3">
        <v>14</v>
      </c>
      <c r="K6" s="3">
        <v>6</v>
      </c>
      <c r="L6" s="4"/>
      <c r="M6" s="4"/>
    </row>
    <row r="7" spans="2:18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" t="s">
        <v>19</v>
      </c>
      <c r="N7" s="1"/>
      <c r="O7" s="1" t="s">
        <v>21</v>
      </c>
    </row>
    <row r="8" spans="2:18" ht="31.5" customHeight="1" x14ac:dyDescent="0.25">
      <c r="B8" s="2" t="s">
        <v>12</v>
      </c>
      <c r="C8" s="3">
        <v>1</v>
      </c>
      <c r="D8" s="3">
        <v>1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4" t="s">
        <v>18</v>
      </c>
      <c r="M8" s="3">
        <f>SUMPRODUCT(C4:K4,C8:K8)</f>
        <v>180</v>
      </c>
      <c r="N8" s="3" t="s">
        <v>20</v>
      </c>
      <c r="O8" s="3">
        <f>SUMPRODUCT(C4:K4,C8:K8)</f>
        <v>180</v>
      </c>
    </row>
    <row r="9" spans="2:18" ht="30" customHeight="1" x14ac:dyDescent="0.25">
      <c r="B9" s="3" t="s">
        <v>13</v>
      </c>
      <c r="C9" s="3">
        <v>1</v>
      </c>
      <c r="D9" s="3">
        <v>0</v>
      </c>
      <c r="E9" s="3">
        <v>0</v>
      </c>
      <c r="F9" s="3">
        <v>-1</v>
      </c>
      <c r="G9" s="3">
        <v>-1</v>
      </c>
      <c r="H9" s="3">
        <v>0</v>
      </c>
      <c r="I9" s="3">
        <v>0</v>
      </c>
      <c r="J9" s="3">
        <v>0</v>
      </c>
      <c r="K9" s="3">
        <v>0</v>
      </c>
      <c r="L9" s="4" t="s">
        <v>18</v>
      </c>
      <c r="M9" s="3">
        <f>SUMPRODUCT(C4:K4,C9:K9)</f>
        <v>0</v>
      </c>
      <c r="N9" s="3" t="s">
        <v>20</v>
      </c>
      <c r="O9" s="3">
        <f>SUMPRODUCT(C4:K4,C9:K9)</f>
        <v>0</v>
      </c>
    </row>
    <row r="10" spans="2:18" ht="31.5" customHeight="1" x14ac:dyDescent="0.25">
      <c r="B10" s="3" t="s">
        <v>14</v>
      </c>
      <c r="C10" s="3">
        <v>0</v>
      </c>
      <c r="D10" s="3">
        <v>1</v>
      </c>
      <c r="E10" s="3">
        <v>0</v>
      </c>
      <c r="F10" s="3">
        <v>1</v>
      </c>
      <c r="G10" s="3">
        <v>0</v>
      </c>
      <c r="H10" s="3">
        <v>-1</v>
      </c>
      <c r="I10" s="3">
        <v>1</v>
      </c>
      <c r="J10" s="3">
        <v>0</v>
      </c>
      <c r="K10" s="3">
        <v>0</v>
      </c>
      <c r="L10" s="4" t="s">
        <v>18</v>
      </c>
      <c r="M10" s="3">
        <f>SUMPRODUCT(C4:K4,C10:K10)</f>
        <v>0</v>
      </c>
      <c r="N10" s="3" t="s">
        <v>20</v>
      </c>
      <c r="O10" s="3">
        <f>SUMPRODUCT(C4:K4,C10:K10)</f>
        <v>0</v>
      </c>
    </row>
    <row r="11" spans="2:18" ht="27.75" customHeight="1" x14ac:dyDescent="0.25">
      <c r="B11" s="3" t="s">
        <v>15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  <c r="I11" s="5">
        <v>-1</v>
      </c>
      <c r="J11" s="3">
        <v>-1</v>
      </c>
      <c r="K11" s="3">
        <v>0</v>
      </c>
      <c r="L11" s="4" t="s">
        <v>18</v>
      </c>
      <c r="M11" s="3">
        <f>SUMPRODUCT(C4:K4,C11:K11)</f>
        <v>0</v>
      </c>
      <c r="N11" s="3" t="s">
        <v>20</v>
      </c>
      <c r="O11" s="3">
        <f>SUMPRODUCT(C4:K4,C11:K11)</f>
        <v>0</v>
      </c>
    </row>
    <row r="12" spans="2:18" ht="27" customHeight="1" x14ac:dyDescent="0.25">
      <c r="B12" s="3" t="s">
        <v>16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-1</v>
      </c>
      <c r="L12" s="4" t="s">
        <v>18</v>
      </c>
      <c r="M12" s="3">
        <f>SUMPRODUCT(C4:K4,C12:K12)</f>
        <v>0</v>
      </c>
      <c r="N12" s="3" t="s">
        <v>20</v>
      </c>
      <c r="O12" s="3">
        <f>SUMPRODUCT(C4:K4,C12:K12)</f>
        <v>0</v>
      </c>
    </row>
    <row r="13" spans="2:18" ht="30" customHeight="1" x14ac:dyDescent="0.25">
      <c r="B13" s="3" t="s">
        <v>17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1</v>
      </c>
      <c r="K13" s="3">
        <v>1</v>
      </c>
      <c r="L13" s="4" t="s">
        <v>18</v>
      </c>
      <c r="M13" s="3">
        <f>SUMPRODUCT(C4:K4,C13:K13)</f>
        <v>180</v>
      </c>
      <c r="N13" s="3" t="s">
        <v>20</v>
      </c>
      <c r="O13" s="3">
        <f>SUMPRODUCT(C4:K4,C13:K13)</f>
        <v>180</v>
      </c>
    </row>
  </sheetData>
  <mergeCells count="3">
    <mergeCell ref="B3:B4"/>
    <mergeCell ref="O3:O4"/>
    <mergeCell ref="Q3: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Aulas Ingenieria</dc:creator>
  <cp:lastModifiedBy>Aulas Ingenieria</cp:lastModifiedBy>
  <dcterms:created xsi:type="dcterms:W3CDTF">2026-02-10T19:46:14Z</dcterms:created>
  <dcterms:modified xsi:type="dcterms:W3CDTF">2026-02-10T21:13:56Z</dcterms:modified>
</cp:coreProperties>
</file>