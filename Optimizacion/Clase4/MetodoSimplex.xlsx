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C920FB3-E56B-4075-9E9A-53BB1647CAD3}" xr6:coauthVersionLast="47" xr6:coauthVersionMax="47" xr10:uidLastSave="{00000000-0000-0000-0000-000000000000}"/>
  <bookViews>
    <workbookView xWindow="-110" yWindow="-110" windowWidth="19420" windowHeight="10300" firstSheet="1" activeTab="1" xr2:uid="{0A16EB44-ECC6-4452-ABDA-FEA832DCC22D}"/>
  </bookViews>
  <sheets>
    <sheet name="Ejemplo" sheetId="1" r:id="rId1"/>
    <sheet name="PUNTO1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9" i="2" l="1"/>
  <c r="N96" i="2"/>
  <c r="M96" i="2"/>
  <c r="M97" i="2"/>
  <c r="E97" i="2"/>
  <c r="M89" i="2"/>
  <c r="G56" i="2"/>
  <c r="O48" i="2"/>
  <c r="G48" i="2"/>
  <c r="O40" i="2"/>
</calcChain>
</file>

<file path=xl/sharedStrings.xml><?xml version="1.0" encoding="utf-8"?>
<sst xmlns="http://schemas.openxmlformats.org/spreadsheetml/2006/main" count="282" uniqueCount="51">
  <si>
    <t xml:space="preserve">Ejemplo </t>
  </si>
  <si>
    <t xml:space="preserve">Funcion Objetivo </t>
  </si>
  <si>
    <t xml:space="preserve">3x1 + 2x2 </t>
  </si>
  <si>
    <t xml:space="preserve">Método Simplex </t>
  </si>
  <si>
    <t>Función Objetivo</t>
  </si>
  <si>
    <t>Max Z = 3x1 + 2x2</t>
  </si>
  <si>
    <t>Pasos</t>
  </si>
  <si>
    <t>2X1 + X2 + S1 = 18</t>
  </si>
  <si>
    <t>Z - 3X1 - 2X2 = 0</t>
  </si>
  <si>
    <t>2X1 + 3X2 + S2 = 42</t>
  </si>
  <si>
    <t>3X1 + X2 + S3 = 24</t>
  </si>
  <si>
    <t>2. Tabla Simplex</t>
  </si>
  <si>
    <t>Variable básica</t>
  </si>
  <si>
    <t>X1</t>
  </si>
  <si>
    <t>X2</t>
  </si>
  <si>
    <t>S1</t>
  </si>
  <si>
    <t>S2</t>
  </si>
  <si>
    <t>S3</t>
  </si>
  <si>
    <t>Solución</t>
  </si>
  <si>
    <t>Z</t>
  </si>
  <si>
    <t>1. Forma estándar (variables de holgura)</t>
  </si>
  <si>
    <t>3. Elegir la fila pivote (Solución/Valores Columna). Escojo más pequeño</t>
  </si>
  <si>
    <t>18/2</t>
  </si>
  <si>
    <t>42/2</t>
  </si>
  <si>
    <t>24/3</t>
  </si>
  <si>
    <t>2.2. Elegir la columna pivote De la Fila Z (-3)</t>
  </si>
  <si>
    <t>4. Hacer el elemento pivote 1 y los demás elementos de la columna 0</t>
  </si>
  <si>
    <t>Nueva fila S3: (3,1,0,0,1,24)/3 -&gt; 1, 1/3, 0,0,1/3, 8</t>
  </si>
  <si>
    <t>Para que la fila quede 1, divido entre 3 todo</t>
  </si>
  <si>
    <t>4.1 Hacer el elemento pivote 1 y los demás elementos de la columna 0</t>
  </si>
  <si>
    <t>4.2 Demás elementos de la columna 0</t>
  </si>
  <si>
    <t>Para que la columma quede en ceros</t>
  </si>
  <si>
    <t>Nueva fila S1:  (2,1,1,0,0,18) -2* (1,1/3,0,0,1/3,8) -&gt; (0, 1/7, 1, 0, -2/3, 2)</t>
  </si>
  <si>
    <t>Nueva fila S2 [2,3,0,1,0,42]−2*[1,1/3,0,0,1/3,8]=[0,2.33,0,1,−0.67,26]</t>
  </si>
  <si>
    <t>Nueva fila Z [−3,−2,0,0,0,0]+3*[1,1/3,0,0,1/3,8]=[0,−1,0,0,1,24]</t>
  </si>
  <si>
    <t xml:space="preserve">5. Remplazo a S3 y empiezo de nuevo </t>
  </si>
  <si>
    <t>5. Remplazo a S3 y empiezo de nuevo  SOL/x2</t>
  </si>
  <si>
    <t>2/(1/3)</t>
  </si>
  <si>
    <t>26/2.33</t>
  </si>
  <si>
    <t>8/(1/3)</t>
  </si>
  <si>
    <t>Para que la fila quede 1, multiplico por 3 todo</t>
  </si>
  <si>
    <t>Nueva fila S1: (0,1/3,1,0,-2/3,2)*3 -&gt; (0,1,3,0,-2,6)</t>
  </si>
  <si>
    <t>Nueva fila S2:  (2.33,0,1,-0.67,26) -0.233* (0,1,3,0,-2,6) -&gt; (0,0,-7,1,4,12)</t>
  </si>
  <si>
    <t>6/-2</t>
  </si>
  <si>
    <t>3. Elegir la fila pivote (Solución/Valores Columna). Escojo más pequeño no negativo</t>
  </si>
  <si>
    <t>Para que la fila quede 1, divido entre 4</t>
  </si>
  <si>
    <t>3. Elegir la fila pivote (Solución/Valores Columna)4. Hacer el elemento pivote 1 y los demás elementos de la columna 0. Escojo más pequeño no negativo</t>
  </si>
  <si>
    <t>Nueva fila S1: (0,1/3,1,0,-2/3,2)/4 -&gt; (0,0,-7/4,1/4,1,3)</t>
  </si>
  <si>
    <t>Nueva Fila X1 = F - 1*Fpivote, Resultado = (1,0,3/4,-1/4,0,3)</t>
  </si>
  <si>
    <t>Nueva FZ = FZ + Fpivote, Resultado = (0,0,5/4,1/4,0,33)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</si>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</sst>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/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2" fontId="0" fillId="6" borderId="2" xfId="0" applyNumberFormat="1" applyFill="1" applyBorder="1" applyAlignment="1">
      <alignment horizontal="center" vertical="center"/>
    </xf>
    <xf numFmtId="12" fontId="0" fillId="5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2" fontId="0" fillId="8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2" fontId="0" fillId="3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2" fontId="0" fillId="10" borderId="2" xfId="0" applyNumberFormat="1" applyFill="1" applyBorder="1" applyAlignment="1">
      <alignment horizontal="center" vertical="center"/>
    </xf>
    <xf numFmtId="12" fontId="0" fillId="9" borderId="2" xfId="0" applyNumberFormat="1" applyFill="1" applyBorder="1" applyAlignment="1">
      <alignment horizontal="center" vertical="center"/>
    </xf>
    <xf numFmtId="12" fontId="0" fillId="2" borderId="2" xfId="0" applyNumberFormat="1" applyFill="1" applyBorder="1" applyAlignment="1">
      <alignment horizontal="center" vertical="center"/>
    </xf>
    <xf numFmtId="0" fontId="0" fillId="5" borderId="0" xfId="0" applyFill="1"/>
    <xf numFmtId="12" fontId="0" fillId="7" borderId="2" xfId="0" applyNumberFormat="1" applyFill="1" applyBorder="1" applyAlignment="1">
      <alignment horizontal="center" vertical="center"/>
    </xf>
    <xf numFmtId="0" fontId="0" fillId="8" borderId="2" xfId="0" quotePrefix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2" xfId="0" quotePrefix="1" applyFill="1" applyBorder="1" applyAlignment="1">
      <alignment horizontal="center" vertical="center"/>
    </xf>
    <xf numFmtId="12" fontId="0" fillId="2" borderId="2" xfId="0" applyNumberFormat="1" applyFill="1" applyBorder="1"/>
    <xf numFmtId="12" fontId="0" fillId="5" borderId="2" xfId="0" applyNumberFormat="1" applyFill="1" applyBorder="1"/>
    <xf numFmtId="0" fontId="0" fillId="5" borderId="2" xfId="0" applyFill="1" applyBorder="1"/>
    <xf numFmtId="0" fontId="0" fillId="7" borderId="2" xfId="0" quotePrefix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6" fontId="0" fillId="8" borderId="6" xfId="0" applyNumberFormat="1" applyFill="1" applyBorder="1" applyAlignment="1">
      <alignment horizontal="center" vertical="center"/>
    </xf>
    <xf numFmtId="16" fontId="0" fillId="8" borderId="7" xfId="0" applyNumberFormat="1" applyFill="1" applyBorder="1" applyAlignment="1">
      <alignment horizontal="center" vertical="center"/>
    </xf>
    <xf numFmtId="16" fontId="0" fillId="8" borderId="8" xfId="0" applyNumberFormat="1" applyFill="1" applyBorder="1" applyAlignment="1">
      <alignment horizontal="center" vertical="center"/>
    </xf>
    <xf numFmtId="16" fontId="0" fillId="8" borderId="9" xfId="0" applyNumberFormat="1" applyFill="1" applyBorder="1" applyAlignment="1">
      <alignment horizontal="center" vertical="center"/>
    </xf>
    <xf numFmtId="16" fontId="0" fillId="8" borderId="1" xfId="0" applyNumberFormat="1" applyFill="1" applyBorder="1" applyAlignment="1">
      <alignment horizontal="center" vertical="center"/>
    </xf>
    <xf numFmtId="16" fontId="0" fillId="8" borderId="10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6" xfId="0" applyNumberFormat="1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242264</xdr:colOff>
      <xdr:row>2</xdr:row>
      <xdr:rowOff>50000</xdr:rowOff>
    </xdr:from>
    <xdr:to>
      <xdr:col>2</xdr:col>
      <xdr:colOff>280924</xdr:colOff>
      <xdr:row>8</xdr:row>
      <xdr:rowOff>53013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DCE822-FB1E-2448-A846-DD8B32B56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264" y="420000"/>
          <a:ext cx="1803660" cy="1113013"/>
        </a:xfrm>
        <a:prstGeom prst="rect">
          <a:avLst/>
        </a:prstGeom>
      </xdr:spPr>
    </xdr:pic>
    <xdr:clientData/>
  </xdr:twoCellAnchor>
  <xdr:twoCellAnchor editAs="oneCell">
    <xdr:from>
      <xdr:col>2</xdr:col>
      <xdr:colOff>234964</xdr:colOff>
      <xdr:row>0</xdr:row>
      <xdr:rowOff>158155</xdr:rowOff>
    </xdr:from>
    <xdr:to>
      <xdr:col>7</xdr:col>
      <xdr:colOff>92800</xdr:colOff>
      <xdr:row>8</xdr:row>
      <xdr:rowOff>122575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112AF-AACC-835E-7DB4-FF0BCBF73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9719" y="158155"/>
          <a:ext cx="2896486" cy="1429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BB28-04C9-466C-ACBE-51D6A619F5CF}">
  <dimension ref="A1:C2"/>
  <sheetViews>
    <sheetView topLeftCell="A2" zoomScale="163" workbookViewId="0">
      <selection activeCell="B13" sqref="B13"/>
    </sheetView>
  </sheetViews>
  <sheetFormatPr defaultRowHeight="14.5" x14ac:dyDescent="0.35"/>
  <cols>
    <col min="2" max="2" width="16.54296875" customWidth="1"/>
  </cols>
  <sheetData>
    <row r="1" spans="1:3" x14ac:dyDescent="0.35">
      <c r="A1" t="s">
        <v>0</v>
      </c>
    </row>
    <row r="2" spans="1:3" x14ac:dyDescent="0.35">
      <c r="B2" t="s">
        <v>1</v>
      </c>
      <c r="C2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E1C3-4B52-4156-A1FB-D1BE378E3513}">
  <dimension ref="B2:V100"/>
  <sheetViews>
    <sheetView tabSelected="1" zoomScale="32" zoomScaleNormal="43" workbookViewId="0">
      <selection activeCell="I43" sqref="I43"/>
    </sheetView>
  </sheetViews>
  <sheetFormatPr defaultRowHeight="14.5" x14ac:dyDescent="0.35"/>
  <cols>
    <col min="2" max="2" width="16.08984375" customWidth="1"/>
    <col min="10" max="10" width="13.26953125" customWidth="1"/>
    <col min="22" max="22" width="32" customWidth="1"/>
  </cols>
  <sheetData>
    <row r="2" spans="2:16" x14ac:dyDescent="0.35">
      <c r="B2" t="s">
        <v>3</v>
      </c>
    </row>
    <row r="4" spans="2:16" x14ac:dyDescent="0.35">
      <c r="B4" s="1" t="s">
        <v>4</v>
      </c>
      <c r="C4" s="49" t="s">
        <v>5</v>
      </c>
      <c r="D4" s="49"/>
    </row>
    <row r="6" spans="2:16" x14ac:dyDescent="0.35">
      <c r="B6" s="50" t="s">
        <v>6</v>
      </c>
      <c r="C6" s="50"/>
      <c r="D6" s="50"/>
      <c r="E6" s="50"/>
    </row>
    <row r="7" spans="2:16" x14ac:dyDescent="0.35">
      <c r="B7" s="49" t="s">
        <v>20</v>
      </c>
      <c r="C7" s="49"/>
      <c r="D7" s="49"/>
      <c r="E7" s="49"/>
    </row>
    <row r="8" spans="2:16" x14ac:dyDescent="0.35">
      <c r="B8" s="49" t="s">
        <v>7</v>
      </c>
      <c r="C8" s="49"/>
      <c r="D8" s="49"/>
      <c r="E8" s="49"/>
    </row>
    <row r="9" spans="2:16" x14ac:dyDescent="0.35">
      <c r="B9" s="49" t="s">
        <v>9</v>
      </c>
      <c r="C9" s="49"/>
      <c r="D9" s="49"/>
      <c r="E9" s="49"/>
    </row>
    <row r="10" spans="2:16" x14ac:dyDescent="0.35">
      <c r="B10" s="49" t="s">
        <v>10</v>
      </c>
      <c r="C10" s="49"/>
      <c r="D10" s="49"/>
      <c r="E10" s="49"/>
    </row>
    <row r="11" spans="2:16" x14ac:dyDescent="0.35">
      <c r="B11" s="49" t="s">
        <v>8</v>
      </c>
      <c r="C11" s="49"/>
      <c r="D11" s="49"/>
      <c r="E11" s="49"/>
    </row>
    <row r="13" spans="2:16" x14ac:dyDescent="0.35">
      <c r="B13" s="43" t="s">
        <v>6</v>
      </c>
      <c r="C13" s="44"/>
      <c r="D13" s="44"/>
      <c r="E13" s="44"/>
      <c r="F13" s="44"/>
      <c r="G13" s="44"/>
      <c r="H13" s="45"/>
      <c r="J13" s="43" t="s">
        <v>6</v>
      </c>
      <c r="K13" s="44"/>
      <c r="L13" s="44"/>
      <c r="M13" s="44"/>
      <c r="N13" s="44"/>
      <c r="O13" s="44"/>
      <c r="P13" s="45"/>
    </row>
    <row r="14" spans="2:16" x14ac:dyDescent="0.35">
      <c r="B14" s="51" t="s">
        <v>11</v>
      </c>
      <c r="C14" s="52"/>
      <c r="D14" s="52"/>
      <c r="E14" s="52"/>
      <c r="F14" s="52"/>
      <c r="G14" s="52"/>
      <c r="H14" s="53"/>
      <c r="J14" s="51" t="s">
        <v>25</v>
      </c>
      <c r="K14" s="52"/>
      <c r="L14" s="52"/>
      <c r="M14" s="52"/>
      <c r="N14" s="52"/>
      <c r="O14" s="52"/>
      <c r="P14" s="53"/>
    </row>
    <row r="15" spans="2:16" x14ac:dyDescent="0.35"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12</v>
      </c>
      <c r="K15" s="4" t="s">
        <v>13</v>
      </c>
      <c r="L15" s="2" t="s">
        <v>14</v>
      </c>
      <c r="M15" s="2" t="s">
        <v>15</v>
      </c>
      <c r="N15" s="2" t="s">
        <v>16</v>
      </c>
      <c r="O15" s="2" t="s">
        <v>17</v>
      </c>
      <c r="P15" s="2" t="s">
        <v>18</v>
      </c>
    </row>
    <row r="16" spans="2:16" x14ac:dyDescent="0.35">
      <c r="B16" s="2" t="s">
        <v>15</v>
      </c>
      <c r="C16" s="2">
        <v>2</v>
      </c>
      <c r="D16" s="2">
        <v>1</v>
      </c>
      <c r="E16" s="2">
        <v>1</v>
      </c>
      <c r="F16" s="2">
        <v>0</v>
      </c>
      <c r="G16" s="2">
        <v>0</v>
      </c>
      <c r="H16" s="2">
        <v>18</v>
      </c>
      <c r="J16" s="2" t="s">
        <v>15</v>
      </c>
      <c r="K16" s="4">
        <v>2</v>
      </c>
      <c r="L16" s="2">
        <v>1</v>
      </c>
      <c r="M16" s="2">
        <v>1</v>
      </c>
      <c r="N16" s="2">
        <v>0</v>
      </c>
      <c r="O16" s="2">
        <v>0</v>
      </c>
      <c r="P16" s="2">
        <v>18</v>
      </c>
    </row>
    <row r="17" spans="2:22" x14ac:dyDescent="0.35">
      <c r="B17" s="2" t="s">
        <v>16</v>
      </c>
      <c r="C17" s="2">
        <v>2</v>
      </c>
      <c r="D17" s="2">
        <v>3</v>
      </c>
      <c r="E17" s="2">
        <v>0</v>
      </c>
      <c r="F17" s="2">
        <v>1</v>
      </c>
      <c r="G17" s="2">
        <v>0</v>
      </c>
      <c r="H17" s="2">
        <v>42</v>
      </c>
      <c r="J17" s="2" t="s">
        <v>16</v>
      </c>
      <c r="K17" s="4">
        <v>2</v>
      </c>
      <c r="L17" s="2">
        <v>3</v>
      </c>
      <c r="M17" s="2">
        <v>0</v>
      </c>
      <c r="N17" s="2">
        <v>1</v>
      </c>
      <c r="O17" s="2">
        <v>0</v>
      </c>
      <c r="P17" s="2">
        <v>42</v>
      </c>
    </row>
    <row r="18" spans="2:22" x14ac:dyDescent="0.35">
      <c r="B18" s="2" t="s">
        <v>17</v>
      </c>
      <c r="C18" s="2">
        <v>3</v>
      </c>
      <c r="D18" s="2">
        <v>1</v>
      </c>
      <c r="E18" s="2">
        <v>0</v>
      </c>
      <c r="F18" s="2">
        <v>0</v>
      </c>
      <c r="G18" s="2">
        <v>1</v>
      </c>
      <c r="H18" s="2">
        <v>24</v>
      </c>
      <c r="J18" s="2" t="s">
        <v>17</v>
      </c>
      <c r="K18" s="4">
        <v>3</v>
      </c>
      <c r="L18" s="2">
        <v>1</v>
      </c>
      <c r="M18" s="2">
        <v>0</v>
      </c>
      <c r="N18" s="2">
        <v>0</v>
      </c>
      <c r="O18" s="2">
        <v>1</v>
      </c>
      <c r="P18" s="2">
        <v>24</v>
      </c>
    </row>
    <row r="19" spans="2:22" x14ac:dyDescent="0.35">
      <c r="B19" s="2" t="s">
        <v>19</v>
      </c>
      <c r="C19" s="2">
        <v>-3</v>
      </c>
      <c r="D19" s="2">
        <v>-2</v>
      </c>
      <c r="E19" s="2">
        <v>0</v>
      </c>
      <c r="F19" s="2">
        <v>0</v>
      </c>
      <c r="G19" s="2">
        <v>0</v>
      </c>
      <c r="H19" s="2">
        <v>0</v>
      </c>
      <c r="J19" s="2" t="s">
        <v>19</v>
      </c>
      <c r="K19" s="3">
        <v>-3</v>
      </c>
      <c r="L19" s="2">
        <v>-2</v>
      </c>
      <c r="M19" s="2">
        <v>0</v>
      </c>
      <c r="N19" s="2">
        <v>0</v>
      </c>
      <c r="O19" s="2">
        <v>0</v>
      </c>
      <c r="P19" s="2">
        <v>0</v>
      </c>
    </row>
    <row r="21" spans="2:22" x14ac:dyDescent="0.35">
      <c r="B21" s="43" t="s">
        <v>6</v>
      </c>
      <c r="C21" s="44"/>
      <c r="D21" s="44"/>
      <c r="E21" s="44"/>
      <c r="F21" s="44"/>
      <c r="G21" s="44"/>
      <c r="H21" s="45"/>
    </row>
    <row r="22" spans="2:22" x14ac:dyDescent="0.35">
      <c r="B22" s="51" t="s">
        <v>21</v>
      </c>
      <c r="C22" s="52"/>
      <c r="D22" s="52"/>
      <c r="E22" s="52"/>
      <c r="F22" s="52"/>
      <c r="G22" s="52"/>
      <c r="H22" s="53"/>
    </row>
    <row r="23" spans="2:22" x14ac:dyDescent="0.35">
      <c r="B23" s="2" t="s">
        <v>12</v>
      </c>
      <c r="C23" s="5" t="s">
        <v>13</v>
      </c>
      <c r="D23" s="2" t="s">
        <v>14</v>
      </c>
      <c r="E23" s="2" t="s">
        <v>15</v>
      </c>
      <c r="F23" s="2" t="s">
        <v>16</v>
      </c>
      <c r="G23" s="2" t="s">
        <v>17</v>
      </c>
      <c r="H23" s="5" t="s">
        <v>18</v>
      </c>
    </row>
    <row r="24" spans="2:22" x14ac:dyDescent="0.35">
      <c r="B24" s="2" t="s">
        <v>15</v>
      </c>
      <c r="C24" s="5">
        <v>2</v>
      </c>
      <c r="D24" s="2">
        <v>1</v>
      </c>
      <c r="E24" s="2">
        <v>1</v>
      </c>
      <c r="F24" s="2">
        <v>0</v>
      </c>
      <c r="G24" s="2">
        <v>0</v>
      </c>
      <c r="H24" s="5">
        <v>18</v>
      </c>
      <c r="J24" s="1" t="s">
        <v>22</v>
      </c>
      <c r="K24" s="1">
        <v>9</v>
      </c>
    </row>
    <row r="25" spans="2:22" x14ac:dyDescent="0.35">
      <c r="B25" s="2" t="s">
        <v>16</v>
      </c>
      <c r="C25" s="5">
        <v>2</v>
      </c>
      <c r="D25" s="2">
        <v>3</v>
      </c>
      <c r="E25" s="2">
        <v>0</v>
      </c>
      <c r="F25" s="2">
        <v>1</v>
      </c>
      <c r="G25" s="2">
        <v>0</v>
      </c>
      <c r="H25" s="5">
        <v>42</v>
      </c>
      <c r="J25" s="1" t="s">
        <v>23</v>
      </c>
      <c r="K25" s="1">
        <v>21</v>
      </c>
    </row>
    <row r="26" spans="2:22" x14ac:dyDescent="0.35">
      <c r="B26" s="2" t="s">
        <v>17</v>
      </c>
      <c r="C26" s="3">
        <v>3</v>
      </c>
      <c r="D26" s="2">
        <v>1</v>
      </c>
      <c r="E26" s="2">
        <v>0</v>
      </c>
      <c r="F26" s="2">
        <v>0</v>
      </c>
      <c r="G26" s="2">
        <v>1</v>
      </c>
      <c r="H26" s="5">
        <v>24</v>
      </c>
      <c r="J26" s="6" t="s">
        <v>24</v>
      </c>
      <c r="K26" s="6">
        <v>8</v>
      </c>
    </row>
    <row r="27" spans="2:22" x14ac:dyDescent="0.35">
      <c r="B27" s="2" t="s">
        <v>19</v>
      </c>
      <c r="C27" s="7">
        <v>-3</v>
      </c>
      <c r="D27" s="7">
        <v>-2</v>
      </c>
      <c r="E27" s="7">
        <v>0</v>
      </c>
      <c r="F27" s="7">
        <v>0</v>
      </c>
      <c r="G27" s="7">
        <v>0</v>
      </c>
      <c r="H27" s="7">
        <v>0</v>
      </c>
    </row>
    <row r="29" spans="2:22" x14ac:dyDescent="0.35">
      <c r="B29" s="43" t="s">
        <v>6</v>
      </c>
      <c r="C29" s="44"/>
      <c r="D29" s="44"/>
      <c r="E29" s="44"/>
      <c r="F29" s="44"/>
      <c r="G29" s="44"/>
      <c r="H29" s="45"/>
      <c r="J29" s="43" t="s">
        <v>6</v>
      </c>
      <c r="K29" s="44"/>
      <c r="L29" s="44"/>
      <c r="M29" s="44"/>
      <c r="N29" s="44"/>
      <c r="O29" s="44"/>
      <c r="P29" s="45"/>
    </row>
    <row r="30" spans="2:22" x14ac:dyDescent="0.35">
      <c r="B30" s="46" t="s">
        <v>26</v>
      </c>
      <c r="C30" s="47"/>
      <c r="D30" s="47"/>
      <c r="E30" s="47"/>
      <c r="F30" s="47"/>
      <c r="G30" s="47"/>
      <c r="H30" s="48"/>
      <c r="J30" s="46" t="s">
        <v>29</v>
      </c>
      <c r="K30" s="47"/>
      <c r="L30" s="47"/>
      <c r="M30" s="47"/>
      <c r="N30" s="47"/>
      <c r="O30" s="47"/>
      <c r="P30" s="48"/>
    </row>
    <row r="31" spans="2:22" x14ac:dyDescent="0.35">
      <c r="B31" s="7" t="s">
        <v>12</v>
      </c>
      <c r="C31" s="7" t="s">
        <v>13</v>
      </c>
      <c r="D31" s="7" t="s">
        <v>14</v>
      </c>
      <c r="E31" s="7" t="s">
        <v>15</v>
      </c>
      <c r="F31" s="7" t="s">
        <v>16</v>
      </c>
      <c r="G31" s="7" t="s">
        <v>17</v>
      </c>
      <c r="H31" s="7" t="s">
        <v>18</v>
      </c>
      <c r="J31" s="7" t="s">
        <v>12</v>
      </c>
      <c r="K31" s="7" t="s">
        <v>13</v>
      </c>
      <c r="L31" s="7" t="s">
        <v>14</v>
      </c>
      <c r="M31" s="7" t="s">
        <v>15</v>
      </c>
      <c r="N31" s="7" t="s">
        <v>16</v>
      </c>
      <c r="O31" s="7" t="s">
        <v>17</v>
      </c>
      <c r="P31" s="7" t="s">
        <v>18</v>
      </c>
      <c r="R31" s="29" t="s">
        <v>28</v>
      </c>
      <c r="S31" s="30"/>
      <c r="T31" s="30"/>
      <c r="U31" s="30"/>
      <c r="V31" s="31"/>
    </row>
    <row r="32" spans="2:22" x14ac:dyDescent="0.35">
      <c r="B32" s="7" t="s">
        <v>15</v>
      </c>
      <c r="C32" s="7">
        <v>2</v>
      </c>
      <c r="D32" s="7">
        <v>1</v>
      </c>
      <c r="E32" s="7">
        <v>1</v>
      </c>
      <c r="F32" s="7">
        <v>0</v>
      </c>
      <c r="G32" s="7">
        <v>0</v>
      </c>
      <c r="H32" s="7">
        <v>18</v>
      </c>
      <c r="J32" s="7" t="s">
        <v>15</v>
      </c>
      <c r="K32" s="7">
        <v>2</v>
      </c>
      <c r="L32" s="7">
        <v>1</v>
      </c>
      <c r="M32" s="7">
        <v>1</v>
      </c>
      <c r="N32" s="7">
        <v>0</v>
      </c>
      <c r="O32" s="7">
        <v>0</v>
      </c>
      <c r="P32" s="7">
        <v>18</v>
      </c>
      <c r="R32" s="32"/>
      <c r="S32" s="33"/>
      <c r="T32" s="33"/>
      <c r="U32" s="33"/>
      <c r="V32" s="34"/>
    </row>
    <row r="33" spans="2:22" x14ac:dyDescent="0.35">
      <c r="B33" s="7" t="s">
        <v>16</v>
      </c>
      <c r="C33" s="7">
        <v>2</v>
      </c>
      <c r="D33" s="7">
        <v>3</v>
      </c>
      <c r="E33" s="7">
        <v>0</v>
      </c>
      <c r="F33" s="7">
        <v>1</v>
      </c>
      <c r="G33" s="7">
        <v>0</v>
      </c>
      <c r="H33" s="7">
        <v>42</v>
      </c>
      <c r="J33" s="7" t="s">
        <v>16</v>
      </c>
      <c r="K33" s="7">
        <v>2</v>
      </c>
      <c r="L33" s="7">
        <v>3</v>
      </c>
      <c r="M33" s="7">
        <v>0</v>
      </c>
      <c r="N33" s="7">
        <v>1</v>
      </c>
      <c r="O33" s="7">
        <v>0</v>
      </c>
      <c r="P33" s="7">
        <v>42</v>
      </c>
      <c r="R33" s="54" t="s">
        <v>27</v>
      </c>
      <c r="S33" s="55"/>
      <c r="T33" s="55"/>
      <c r="U33" s="55"/>
      <c r="V33" s="56"/>
    </row>
    <row r="34" spans="2:22" x14ac:dyDescent="0.35">
      <c r="B34" s="7" t="s">
        <v>17</v>
      </c>
      <c r="C34" s="8">
        <v>3</v>
      </c>
      <c r="D34" s="8">
        <v>1</v>
      </c>
      <c r="E34" s="8">
        <v>0</v>
      </c>
      <c r="F34" s="8">
        <v>0</v>
      </c>
      <c r="G34" s="8">
        <v>1</v>
      </c>
      <c r="H34" s="8">
        <v>24</v>
      </c>
      <c r="J34" s="7" t="s">
        <v>17</v>
      </c>
      <c r="K34" s="8">
        <v>1</v>
      </c>
      <c r="L34" s="9">
        <v>0.33333333333333331</v>
      </c>
      <c r="M34" s="8">
        <v>0</v>
      </c>
      <c r="N34" s="8">
        <v>0</v>
      </c>
      <c r="O34" s="9">
        <v>0.33333333333333331</v>
      </c>
      <c r="P34" s="8">
        <v>8</v>
      </c>
      <c r="R34" s="57"/>
      <c r="S34" s="58"/>
      <c r="T34" s="58"/>
      <c r="U34" s="58"/>
      <c r="V34" s="59"/>
    </row>
    <row r="35" spans="2:22" x14ac:dyDescent="0.35">
      <c r="B35" s="7" t="s">
        <v>19</v>
      </c>
      <c r="C35" s="7">
        <v>-3</v>
      </c>
      <c r="D35" s="7">
        <v>-2</v>
      </c>
      <c r="E35" s="7">
        <v>0</v>
      </c>
      <c r="F35" s="7">
        <v>0</v>
      </c>
      <c r="G35" s="7">
        <v>0</v>
      </c>
      <c r="H35" s="7">
        <v>0</v>
      </c>
      <c r="J35" s="7" t="s">
        <v>19</v>
      </c>
      <c r="K35" s="7">
        <v>-3</v>
      </c>
      <c r="L35" s="7">
        <v>-2</v>
      </c>
      <c r="M35" s="7">
        <v>0</v>
      </c>
      <c r="N35" s="7">
        <v>0</v>
      </c>
      <c r="O35" s="7">
        <v>0</v>
      </c>
      <c r="P35" s="7">
        <v>0</v>
      </c>
    </row>
    <row r="37" spans="2:22" x14ac:dyDescent="0.35">
      <c r="B37" s="43" t="s">
        <v>6</v>
      </c>
      <c r="C37" s="44"/>
      <c r="D37" s="44"/>
      <c r="E37" s="44"/>
      <c r="F37" s="44"/>
      <c r="G37" s="44"/>
      <c r="H37" s="45"/>
      <c r="J37" s="43" t="s">
        <v>6</v>
      </c>
      <c r="K37" s="44"/>
      <c r="L37" s="44"/>
      <c r="M37" s="44"/>
      <c r="N37" s="44"/>
      <c r="O37" s="44"/>
      <c r="P37" s="45"/>
      <c r="R37" s="29" t="s">
        <v>31</v>
      </c>
      <c r="S37" s="30"/>
      <c r="T37" s="30"/>
      <c r="U37" s="30"/>
      <c r="V37" s="31"/>
    </row>
    <row r="38" spans="2:22" x14ac:dyDescent="0.35">
      <c r="B38" s="46" t="s">
        <v>30</v>
      </c>
      <c r="C38" s="47"/>
      <c r="D38" s="47"/>
      <c r="E38" s="47"/>
      <c r="F38" s="47"/>
      <c r="G38" s="47"/>
      <c r="H38" s="48"/>
      <c r="J38" s="46" t="s">
        <v>30</v>
      </c>
      <c r="K38" s="47"/>
      <c r="L38" s="47"/>
      <c r="M38" s="47"/>
      <c r="N38" s="47"/>
      <c r="O38" s="47"/>
      <c r="P38" s="48"/>
      <c r="R38" s="32"/>
      <c r="S38" s="33"/>
      <c r="T38" s="33"/>
      <c r="U38" s="33"/>
      <c r="V38" s="34"/>
    </row>
    <row r="39" spans="2:22" x14ac:dyDescent="0.35">
      <c r="B39" s="7" t="s">
        <v>12</v>
      </c>
      <c r="C39" s="11" t="s">
        <v>13</v>
      </c>
      <c r="D39" s="7" t="s">
        <v>14</v>
      </c>
      <c r="E39" s="7" t="s">
        <v>15</v>
      </c>
      <c r="F39" s="7" t="s">
        <v>16</v>
      </c>
      <c r="G39" s="7" t="s">
        <v>17</v>
      </c>
      <c r="H39" s="7" t="s">
        <v>18</v>
      </c>
      <c r="J39" s="7" t="s">
        <v>12</v>
      </c>
      <c r="K39" s="11" t="s">
        <v>13</v>
      </c>
      <c r="L39" s="7" t="s">
        <v>14</v>
      </c>
      <c r="M39" s="7" t="s">
        <v>15</v>
      </c>
      <c r="N39" s="7" t="s">
        <v>16</v>
      </c>
      <c r="O39" s="7" t="s">
        <v>17</v>
      </c>
      <c r="P39" s="7" t="s">
        <v>18</v>
      </c>
      <c r="R39" s="35" t="s">
        <v>32</v>
      </c>
      <c r="S39" s="36"/>
      <c r="T39" s="36"/>
      <c r="U39" s="36"/>
      <c r="V39" s="37"/>
    </row>
    <row r="40" spans="2:22" x14ac:dyDescent="0.35">
      <c r="B40" s="7" t="s">
        <v>15</v>
      </c>
      <c r="C40" s="11">
        <v>2</v>
      </c>
      <c r="D40" s="12">
        <v>1</v>
      </c>
      <c r="E40" s="12">
        <v>1</v>
      </c>
      <c r="F40" s="12">
        <v>0</v>
      </c>
      <c r="G40" s="12">
        <v>0</v>
      </c>
      <c r="H40" s="12">
        <v>18</v>
      </c>
      <c r="J40" s="7" t="s">
        <v>15</v>
      </c>
      <c r="K40" s="12">
        <v>0</v>
      </c>
      <c r="L40" s="13">
        <v>0.33333333333333331</v>
      </c>
      <c r="M40" s="12">
        <v>1</v>
      </c>
      <c r="N40" s="12">
        <v>0</v>
      </c>
      <c r="O40" s="13">
        <f>-2/3</f>
        <v>-0.66666666666666663</v>
      </c>
      <c r="P40" s="12">
        <v>2</v>
      </c>
      <c r="R40" s="38"/>
      <c r="S40" s="39"/>
      <c r="T40" s="39"/>
      <c r="U40" s="39"/>
      <c r="V40" s="40"/>
    </row>
    <row r="41" spans="2:22" x14ac:dyDescent="0.35">
      <c r="B41" s="7" t="s">
        <v>16</v>
      </c>
      <c r="C41" s="11">
        <v>2</v>
      </c>
      <c r="D41" s="14">
        <v>3</v>
      </c>
      <c r="E41" s="14">
        <v>0</v>
      </c>
      <c r="F41" s="14">
        <v>1</v>
      </c>
      <c r="G41" s="14">
        <v>0</v>
      </c>
      <c r="H41" s="14">
        <v>42</v>
      </c>
      <c r="J41" s="7" t="s">
        <v>16</v>
      </c>
      <c r="K41" s="14">
        <v>0</v>
      </c>
      <c r="L41" s="18">
        <v>2.3330000000000002</v>
      </c>
      <c r="M41" s="14">
        <v>0</v>
      </c>
      <c r="N41" s="14">
        <v>1</v>
      </c>
      <c r="O41" s="14">
        <v>-0.67</v>
      </c>
      <c r="P41" s="14">
        <v>26</v>
      </c>
      <c r="R41" s="41" t="s">
        <v>33</v>
      </c>
      <c r="S41" s="41"/>
      <c r="T41" s="41"/>
      <c r="U41" s="41"/>
      <c r="V41" s="41"/>
    </row>
    <row r="42" spans="2:22" x14ac:dyDescent="0.35">
      <c r="B42" s="7" t="s">
        <v>17</v>
      </c>
      <c r="C42" s="11">
        <v>1</v>
      </c>
      <c r="D42" s="10">
        <v>0.33333333333333331</v>
      </c>
      <c r="E42" s="7">
        <v>0</v>
      </c>
      <c r="F42" s="7">
        <v>0</v>
      </c>
      <c r="G42" s="10">
        <v>0.33333333333333331</v>
      </c>
      <c r="H42" s="7">
        <v>8</v>
      </c>
      <c r="J42" s="7" t="s">
        <v>17</v>
      </c>
      <c r="K42" s="12">
        <v>1</v>
      </c>
      <c r="L42" s="13">
        <v>0.33333333333333331</v>
      </c>
      <c r="M42" s="12">
        <v>0</v>
      </c>
      <c r="N42" s="12">
        <v>0</v>
      </c>
      <c r="O42" s="13">
        <v>0.33333333333333331</v>
      </c>
      <c r="P42" s="12">
        <v>8</v>
      </c>
      <c r="R42" s="41"/>
      <c r="S42" s="41"/>
      <c r="T42" s="41"/>
      <c r="U42" s="41"/>
      <c r="V42" s="41"/>
    </row>
    <row r="43" spans="2:22" x14ac:dyDescent="0.35">
      <c r="B43" s="7" t="s">
        <v>19</v>
      </c>
      <c r="C43" s="8">
        <v>-3</v>
      </c>
      <c r="D43" s="5">
        <v>-2</v>
      </c>
      <c r="E43" s="5">
        <v>0</v>
      </c>
      <c r="F43" s="5">
        <v>0</v>
      </c>
      <c r="G43" s="5">
        <v>0</v>
      </c>
      <c r="H43" s="5">
        <v>0</v>
      </c>
      <c r="J43" s="7" t="s">
        <v>19</v>
      </c>
      <c r="K43" s="5">
        <v>0</v>
      </c>
      <c r="L43" s="5">
        <v>-1</v>
      </c>
      <c r="M43" s="5">
        <v>0</v>
      </c>
      <c r="N43" s="5">
        <v>0</v>
      </c>
      <c r="O43" s="5">
        <v>1</v>
      </c>
      <c r="P43" s="5">
        <v>24</v>
      </c>
      <c r="R43" s="42" t="s">
        <v>34</v>
      </c>
      <c r="S43" s="42"/>
      <c r="T43" s="42"/>
      <c r="U43" s="42"/>
      <c r="V43" s="42"/>
    </row>
    <row r="44" spans="2:22" x14ac:dyDescent="0.35">
      <c r="R44" s="42"/>
      <c r="S44" s="42"/>
      <c r="T44" s="42"/>
      <c r="U44" s="42"/>
      <c r="V44" s="42"/>
    </row>
    <row r="45" spans="2:22" x14ac:dyDescent="0.35">
      <c r="B45" s="43" t="s">
        <v>6</v>
      </c>
      <c r="C45" s="44"/>
      <c r="D45" s="44"/>
      <c r="E45" s="44"/>
      <c r="F45" s="44"/>
      <c r="G45" s="44"/>
      <c r="H45" s="45"/>
      <c r="J45" s="43" t="s">
        <v>6</v>
      </c>
      <c r="K45" s="44"/>
      <c r="L45" s="44"/>
      <c r="M45" s="44"/>
      <c r="N45" s="44"/>
      <c r="O45" s="44"/>
      <c r="P45" s="45"/>
    </row>
    <row r="46" spans="2:22" x14ac:dyDescent="0.35">
      <c r="B46" s="46" t="s">
        <v>35</v>
      </c>
      <c r="C46" s="47"/>
      <c r="D46" s="47"/>
      <c r="E46" s="47"/>
      <c r="F46" s="47"/>
      <c r="G46" s="47"/>
      <c r="H46" s="48"/>
      <c r="J46" s="46" t="s">
        <v>36</v>
      </c>
      <c r="K46" s="47"/>
      <c r="L46" s="47"/>
      <c r="M46" s="47"/>
      <c r="N46" s="47"/>
      <c r="O46" s="47"/>
      <c r="P46" s="48"/>
    </row>
    <row r="47" spans="2:22" x14ac:dyDescent="0.35">
      <c r="B47" s="7" t="s">
        <v>12</v>
      </c>
      <c r="C47" s="7" t="s">
        <v>13</v>
      </c>
      <c r="D47" s="4" t="s">
        <v>14</v>
      </c>
      <c r="E47" s="7" t="s">
        <v>15</v>
      </c>
      <c r="F47" s="7" t="s">
        <v>16</v>
      </c>
      <c r="G47" s="7" t="s">
        <v>17</v>
      </c>
      <c r="H47" s="7" t="s">
        <v>18</v>
      </c>
      <c r="J47" s="7" t="s">
        <v>12</v>
      </c>
      <c r="K47" s="7" t="s">
        <v>13</v>
      </c>
      <c r="L47" s="16" t="s">
        <v>14</v>
      </c>
      <c r="M47" s="7" t="s">
        <v>15</v>
      </c>
      <c r="N47" s="7" t="s">
        <v>16</v>
      </c>
      <c r="O47" s="7" t="s">
        <v>17</v>
      </c>
      <c r="P47" s="16" t="s">
        <v>18</v>
      </c>
    </row>
    <row r="48" spans="2:22" x14ac:dyDescent="0.35">
      <c r="B48" s="7" t="s">
        <v>15</v>
      </c>
      <c r="C48" s="7">
        <v>0</v>
      </c>
      <c r="D48" s="15">
        <v>0.33333333333333331</v>
      </c>
      <c r="E48" s="7">
        <v>1</v>
      </c>
      <c r="F48" s="7">
        <v>0</v>
      </c>
      <c r="G48" s="10">
        <f>-2/3</f>
        <v>-0.66666666666666663</v>
      </c>
      <c r="H48" s="7">
        <v>2</v>
      </c>
      <c r="J48" s="7" t="s">
        <v>15</v>
      </c>
      <c r="K48" s="7">
        <v>0</v>
      </c>
      <c r="L48" s="19">
        <v>0.33333333333333331</v>
      </c>
      <c r="M48" s="7">
        <v>1</v>
      </c>
      <c r="N48" s="7">
        <v>0</v>
      </c>
      <c r="O48" s="10">
        <f>-2/3</f>
        <v>-0.66666666666666663</v>
      </c>
      <c r="P48" s="16">
        <v>2</v>
      </c>
      <c r="R48" s="6" t="s">
        <v>37</v>
      </c>
      <c r="S48" s="6">
        <v>6</v>
      </c>
    </row>
    <row r="49" spans="2:22" x14ac:dyDescent="0.35">
      <c r="B49" s="7" t="s">
        <v>16</v>
      </c>
      <c r="C49" s="7">
        <v>0</v>
      </c>
      <c r="D49" s="4">
        <v>2.33</v>
      </c>
      <c r="E49" s="7">
        <v>0</v>
      </c>
      <c r="F49" s="7">
        <v>1</v>
      </c>
      <c r="G49" s="7">
        <v>-0.67</v>
      </c>
      <c r="H49" s="7">
        <v>26</v>
      </c>
      <c r="J49" s="7" t="s">
        <v>16</v>
      </c>
      <c r="K49" s="7">
        <v>0</v>
      </c>
      <c r="L49" s="16">
        <v>2.33</v>
      </c>
      <c r="M49" s="7">
        <v>0</v>
      </c>
      <c r="N49" s="7">
        <v>1</v>
      </c>
      <c r="O49" s="7">
        <v>-0.67</v>
      </c>
      <c r="P49" s="16">
        <v>26</v>
      </c>
      <c r="R49" s="1" t="s">
        <v>38</v>
      </c>
      <c r="S49" s="1">
        <v>11.14</v>
      </c>
    </row>
    <row r="50" spans="2:22" x14ac:dyDescent="0.35">
      <c r="B50" s="7" t="s">
        <v>13</v>
      </c>
      <c r="C50" s="7">
        <v>0</v>
      </c>
      <c r="D50" s="15">
        <v>0.33333333333333331</v>
      </c>
      <c r="E50" s="7">
        <v>0</v>
      </c>
      <c r="F50" s="7">
        <v>0</v>
      </c>
      <c r="G50" s="10">
        <v>0.33333333333333331</v>
      </c>
      <c r="H50" s="7">
        <v>8</v>
      </c>
      <c r="J50" s="7" t="s">
        <v>13</v>
      </c>
      <c r="K50" s="7">
        <v>0</v>
      </c>
      <c r="L50" s="17">
        <v>0.33333333333333331</v>
      </c>
      <c r="M50" s="7">
        <v>0</v>
      </c>
      <c r="N50" s="7">
        <v>0</v>
      </c>
      <c r="O50" s="10">
        <v>0.33333333333333331</v>
      </c>
      <c r="P50" s="16">
        <v>8</v>
      </c>
      <c r="R50" s="1" t="s">
        <v>39</v>
      </c>
      <c r="S50" s="1">
        <v>24</v>
      </c>
    </row>
    <row r="51" spans="2:22" x14ac:dyDescent="0.35">
      <c r="B51" s="7" t="s">
        <v>19</v>
      </c>
      <c r="C51" s="7">
        <v>0</v>
      </c>
      <c r="D51" s="3">
        <v>-1</v>
      </c>
      <c r="E51" s="7">
        <v>0</v>
      </c>
      <c r="F51" s="7">
        <v>0</v>
      </c>
      <c r="G51" s="7">
        <v>1</v>
      </c>
      <c r="H51" s="7">
        <v>24</v>
      </c>
      <c r="J51" s="7" t="s">
        <v>19</v>
      </c>
      <c r="K51" s="7">
        <v>0</v>
      </c>
      <c r="L51" s="7">
        <v>-1</v>
      </c>
      <c r="M51" s="7">
        <v>0</v>
      </c>
      <c r="N51" s="7">
        <v>0</v>
      </c>
      <c r="O51" s="7">
        <v>1</v>
      </c>
      <c r="P51" s="7">
        <v>24</v>
      </c>
    </row>
    <row r="53" spans="2:22" x14ac:dyDescent="0.35">
      <c r="B53" s="43" t="s">
        <v>6</v>
      </c>
      <c r="C53" s="44"/>
      <c r="D53" s="44"/>
      <c r="E53" s="44"/>
      <c r="F53" s="44"/>
      <c r="G53" s="44"/>
      <c r="H53" s="45"/>
      <c r="J53" s="43" t="s">
        <v>6</v>
      </c>
      <c r="K53" s="44"/>
      <c r="L53" s="44"/>
      <c r="M53" s="44"/>
      <c r="N53" s="44"/>
      <c r="O53" s="44"/>
      <c r="P53" s="45"/>
    </row>
    <row r="54" spans="2:22" x14ac:dyDescent="0.35">
      <c r="B54" s="46" t="s">
        <v>26</v>
      </c>
      <c r="C54" s="47"/>
      <c r="D54" s="47"/>
      <c r="E54" s="47"/>
      <c r="F54" s="47"/>
      <c r="G54" s="47"/>
      <c r="H54" s="48"/>
      <c r="J54" s="46" t="s">
        <v>29</v>
      </c>
      <c r="K54" s="47"/>
      <c r="L54" s="47"/>
      <c r="M54" s="47"/>
      <c r="N54" s="47"/>
      <c r="O54" s="47"/>
      <c r="P54" s="48"/>
    </row>
    <row r="55" spans="2:22" x14ac:dyDescent="0.35">
      <c r="B55" s="7" t="s">
        <v>12</v>
      </c>
      <c r="C55" s="7" t="s">
        <v>13</v>
      </c>
      <c r="D55" s="7" t="s">
        <v>14</v>
      </c>
      <c r="E55" s="7" t="s">
        <v>15</v>
      </c>
      <c r="F55" s="7" t="s">
        <v>16</v>
      </c>
      <c r="G55" s="7" t="s">
        <v>17</v>
      </c>
      <c r="H55" s="7" t="s">
        <v>18</v>
      </c>
      <c r="J55" s="7" t="s">
        <v>12</v>
      </c>
      <c r="K55" s="7" t="s">
        <v>13</v>
      </c>
      <c r="L55" s="7" t="s">
        <v>14</v>
      </c>
      <c r="M55" s="7" t="s">
        <v>15</v>
      </c>
      <c r="N55" s="7" t="s">
        <v>16</v>
      </c>
      <c r="O55" s="7" t="s">
        <v>17</v>
      </c>
      <c r="P55" s="7" t="s">
        <v>18</v>
      </c>
      <c r="R55" s="29" t="s">
        <v>40</v>
      </c>
      <c r="S55" s="30"/>
      <c r="T55" s="30"/>
      <c r="U55" s="30"/>
      <c r="V55" s="31"/>
    </row>
    <row r="56" spans="2:22" x14ac:dyDescent="0.35">
      <c r="B56" s="7" t="s">
        <v>15</v>
      </c>
      <c r="C56" s="8">
        <v>0</v>
      </c>
      <c r="D56" s="9">
        <v>0.33333333333333331</v>
      </c>
      <c r="E56" s="8">
        <v>1</v>
      </c>
      <c r="F56" s="8">
        <v>0</v>
      </c>
      <c r="G56" s="9">
        <f>-2/3</f>
        <v>-0.66666666666666663</v>
      </c>
      <c r="H56" s="8">
        <v>2</v>
      </c>
      <c r="I56" s="20"/>
      <c r="J56" s="8" t="s">
        <v>15</v>
      </c>
      <c r="K56" s="8">
        <v>0</v>
      </c>
      <c r="L56" s="9">
        <v>1</v>
      </c>
      <c r="M56" s="8">
        <v>3</v>
      </c>
      <c r="N56" s="8">
        <v>0</v>
      </c>
      <c r="O56" s="9">
        <v>-2</v>
      </c>
      <c r="P56" s="8">
        <v>6</v>
      </c>
      <c r="R56" s="32"/>
      <c r="S56" s="33"/>
      <c r="T56" s="33"/>
      <c r="U56" s="33"/>
      <c r="V56" s="34"/>
    </row>
    <row r="57" spans="2:22" x14ac:dyDescent="0.35">
      <c r="B57" s="7" t="s">
        <v>16</v>
      </c>
      <c r="C57" s="7">
        <v>0</v>
      </c>
      <c r="D57" s="7">
        <v>2.33</v>
      </c>
      <c r="E57" s="7">
        <v>0</v>
      </c>
      <c r="F57" s="7">
        <v>1</v>
      </c>
      <c r="G57" s="7">
        <v>-0.67</v>
      </c>
      <c r="H57" s="7">
        <v>26</v>
      </c>
      <c r="I57" s="20"/>
      <c r="J57" s="7" t="s">
        <v>16</v>
      </c>
      <c r="K57" s="7">
        <v>0</v>
      </c>
      <c r="L57" s="7">
        <v>2.33</v>
      </c>
      <c r="M57" s="7">
        <v>0</v>
      </c>
      <c r="N57" s="7">
        <v>1</v>
      </c>
      <c r="O57" s="7">
        <v>-0.67</v>
      </c>
      <c r="P57" s="7">
        <v>26</v>
      </c>
      <c r="R57" s="54" t="s">
        <v>41</v>
      </c>
      <c r="S57" s="55"/>
      <c r="T57" s="55"/>
      <c r="U57" s="55"/>
      <c r="V57" s="56"/>
    </row>
    <row r="58" spans="2:22" x14ac:dyDescent="0.35">
      <c r="B58" s="7" t="s">
        <v>17</v>
      </c>
      <c r="C58" s="7">
        <v>0</v>
      </c>
      <c r="D58" s="10">
        <v>0.33333333333333331</v>
      </c>
      <c r="E58" s="7">
        <v>0</v>
      </c>
      <c r="F58" s="7">
        <v>0</v>
      </c>
      <c r="G58" s="10">
        <v>0.33333333333333331</v>
      </c>
      <c r="H58" s="7">
        <v>8</v>
      </c>
      <c r="I58" s="20"/>
      <c r="J58" s="7" t="s">
        <v>17</v>
      </c>
      <c r="K58" s="7">
        <v>0</v>
      </c>
      <c r="L58" s="10">
        <v>0.33333333333333331</v>
      </c>
      <c r="M58" s="7">
        <v>0</v>
      </c>
      <c r="N58" s="7">
        <v>0</v>
      </c>
      <c r="O58" s="10">
        <v>0.33333333333333331</v>
      </c>
      <c r="P58" s="7">
        <v>8</v>
      </c>
      <c r="R58" s="57"/>
      <c r="S58" s="58"/>
      <c r="T58" s="58"/>
      <c r="U58" s="58"/>
      <c r="V58" s="59"/>
    </row>
    <row r="59" spans="2:22" x14ac:dyDescent="0.35">
      <c r="B59" s="7" t="s">
        <v>19</v>
      </c>
      <c r="C59" s="7">
        <v>0</v>
      </c>
      <c r="D59" s="7">
        <v>-1</v>
      </c>
      <c r="E59" s="7">
        <v>0</v>
      </c>
      <c r="F59" s="7">
        <v>0</v>
      </c>
      <c r="G59" s="7">
        <v>1</v>
      </c>
      <c r="H59" s="7">
        <v>24</v>
      </c>
      <c r="I59" s="20"/>
      <c r="J59" s="7" t="s">
        <v>19</v>
      </c>
      <c r="K59" s="7">
        <v>0</v>
      </c>
      <c r="L59" s="7">
        <v>-1</v>
      </c>
      <c r="M59" s="7">
        <v>0</v>
      </c>
      <c r="N59" s="7">
        <v>0</v>
      </c>
      <c r="O59" s="7">
        <v>1</v>
      </c>
      <c r="P59" s="7">
        <v>24</v>
      </c>
    </row>
    <row r="61" spans="2:22" x14ac:dyDescent="0.35">
      <c r="B61" s="60" t="s">
        <v>6</v>
      </c>
      <c r="C61" s="61"/>
      <c r="D61" s="61"/>
      <c r="E61" s="61"/>
      <c r="F61" s="61"/>
      <c r="G61" s="61"/>
      <c r="H61" s="62"/>
      <c r="I61" s="20"/>
      <c r="J61" s="60" t="s">
        <v>6</v>
      </c>
      <c r="K61" s="61"/>
      <c r="L61" s="61"/>
      <c r="M61" s="61"/>
      <c r="N61" s="61"/>
      <c r="O61" s="61"/>
      <c r="P61" s="62"/>
      <c r="R61" s="29" t="s">
        <v>31</v>
      </c>
      <c r="S61" s="30"/>
      <c r="T61" s="30"/>
      <c r="U61" s="30"/>
      <c r="V61" s="31"/>
    </row>
    <row r="62" spans="2:22" x14ac:dyDescent="0.35">
      <c r="B62" s="46" t="s">
        <v>30</v>
      </c>
      <c r="C62" s="47"/>
      <c r="D62" s="47"/>
      <c r="E62" s="47"/>
      <c r="F62" s="47"/>
      <c r="G62" s="47"/>
      <c r="H62" s="48"/>
      <c r="I62" s="20"/>
      <c r="J62" s="46" t="s">
        <v>30</v>
      </c>
      <c r="K62" s="47"/>
      <c r="L62" s="47"/>
      <c r="M62" s="47"/>
      <c r="N62" s="47"/>
      <c r="O62" s="47"/>
      <c r="P62" s="48"/>
      <c r="R62" s="32"/>
      <c r="S62" s="33"/>
      <c r="T62" s="33"/>
      <c r="U62" s="33"/>
      <c r="V62" s="34"/>
    </row>
    <row r="63" spans="2:22" x14ac:dyDescent="0.35">
      <c r="B63" s="7" t="s">
        <v>12</v>
      </c>
      <c r="C63" s="7" t="s">
        <v>13</v>
      </c>
      <c r="D63" s="7" t="s">
        <v>14</v>
      </c>
      <c r="E63" s="7" t="s">
        <v>15</v>
      </c>
      <c r="F63" s="7" t="s">
        <v>16</v>
      </c>
      <c r="G63" s="7" t="s">
        <v>17</v>
      </c>
      <c r="H63" s="7" t="s">
        <v>18</v>
      </c>
      <c r="I63" s="20"/>
      <c r="J63" s="7" t="s">
        <v>12</v>
      </c>
      <c r="K63" s="7" t="s">
        <v>13</v>
      </c>
      <c r="L63" s="7" t="s">
        <v>14</v>
      </c>
      <c r="M63" s="7" t="s">
        <v>15</v>
      </c>
      <c r="N63" s="7" t="s">
        <v>16</v>
      </c>
      <c r="O63" s="7" t="s">
        <v>17</v>
      </c>
      <c r="P63" s="7" t="s">
        <v>18</v>
      </c>
      <c r="R63" s="35" t="s">
        <v>42</v>
      </c>
      <c r="S63" s="36"/>
      <c r="T63" s="36"/>
      <c r="U63" s="36"/>
      <c r="V63" s="37"/>
    </row>
    <row r="64" spans="2:22" x14ac:dyDescent="0.35">
      <c r="B64" s="7" t="s">
        <v>15</v>
      </c>
      <c r="C64" s="7">
        <v>0</v>
      </c>
      <c r="D64" s="21">
        <v>1</v>
      </c>
      <c r="E64" s="7">
        <v>3</v>
      </c>
      <c r="F64" s="7">
        <v>0</v>
      </c>
      <c r="G64" s="10">
        <v>-2</v>
      </c>
      <c r="H64" s="7">
        <v>6</v>
      </c>
      <c r="I64" s="20"/>
      <c r="J64" s="7" t="s">
        <v>15</v>
      </c>
      <c r="K64" s="7">
        <v>0</v>
      </c>
      <c r="L64" s="10">
        <v>1</v>
      </c>
      <c r="M64" s="7">
        <v>3</v>
      </c>
      <c r="N64" s="7">
        <v>0</v>
      </c>
      <c r="O64" s="10">
        <v>-2</v>
      </c>
      <c r="P64" s="7">
        <v>6</v>
      </c>
      <c r="R64" s="38"/>
      <c r="S64" s="39"/>
      <c r="T64" s="39"/>
      <c r="U64" s="39"/>
      <c r="V64" s="40"/>
    </row>
    <row r="65" spans="2:22" x14ac:dyDescent="0.35">
      <c r="B65" s="7" t="s">
        <v>16</v>
      </c>
      <c r="C65" s="7">
        <v>0</v>
      </c>
      <c r="D65" s="11">
        <v>2.33</v>
      </c>
      <c r="E65" s="7">
        <v>0</v>
      </c>
      <c r="F65" s="7">
        <v>1</v>
      </c>
      <c r="G65" s="7">
        <v>-0.67</v>
      </c>
      <c r="H65" s="7">
        <v>26</v>
      </c>
      <c r="I65" s="20"/>
      <c r="J65" s="7" t="s">
        <v>16</v>
      </c>
      <c r="K65" s="7">
        <v>0</v>
      </c>
      <c r="L65" s="12">
        <v>0</v>
      </c>
      <c r="M65" s="12">
        <v>-7</v>
      </c>
      <c r="N65" s="22">
        <v>1</v>
      </c>
      <c r="O65" s="12">
        <v>4</v>
      </c>
      <c r="P65" s="12">
        <v>12</v>
      </c>
      <c r="Q65" s="23"/>
      <c r="R65" s="41"/>
      <c r="S65" s="41"/>
      <c r="T65" s="41"/>
      <c r="U65" s="41"/>
      <c r="V65" s="41"/>
    </row>
    <row r="66" spans="2:22" x14ac:dyDescent="0.35">
      <c r="B66" s="7" t="s">
        <v>17</v>
      </c>
      <c r="C66" s="7">
        <v>0</v>
      </c>
      <c r="D66" s="21">
        <v>0.33333333333333331</v>
      </c>
      <c r="E66" s="7">
        <v>0</v>
      </c>
      <c r="F66" s="7">
        <v>0</v>
      </c>
      <c r="G66" s="10">
        <v>0.33333333333333331</v>
      </c>
      <c r="H66" s="7">
        <v>8</v>
      </c>
      <c r="I66" s="20"/>
      <c r="J66" s="7" t="s">
        <v>17</v>
      </c>
      <c r="K66" s="7">
        <v>1</v>
      </c>
      <c r="L66" s="18">
        <v>0</v>
      </c>
      <c r="M66" s="14">
        <v>-1</v>
      </c>
      <c r="N66" s="14">
        <v>0</v>
      </c>
      <c r="O66" s="18">
        <v>1</v>
      </c>
      <c r="P66" s="14">
        <v>6</v>
      </c>
      <c r="R66" s="41"/>
      <c r="S66" s="41"/>
      <c r="T66" s="41"/>
      <c r="U66" s="41"/>
      <c r="V66" s="41"/>
    </row>
    <row r="67" spans="2:22" x14ac:dyDescent="0.35">
      <c r="B67" s="7" t="s">
        <v>19</v>
      </c>
      <c r="C67" s="7">
        <v>0</v>
      </c>
      <c r="D67" s="11">
        <v>-1</v>
      </c>
      <c r="E67" s="7">
        <v>0</v>
      </c>
      <c r="F67" s="7">
        <v>0</v>
      </c>
      <c r="G67" s="7">
        <v>1</v>
      </c>
      <c r="H67" s="7">
        <v>24</v>
      </c>
      <c r="I67" s="20"/>
      <c r="J67" s="7" t="s">
        <v>19</v>
      </c>
      <c r="K67" s="7">
        <v>0</v>
      </c>
      <c r="L67" s="16">
        <v>0</v>
      </c>
      <c r="M67" s="16">
        <v>3</v>
      </c>
      <c r="N67" s="16">
        <v>0</v>
      </c>
      <c r="O67" s="16">
        <v>-1</v>
      </c>
      <c r="P67" s="16">
        <v>30</v>
      </c>
      <c r="R67" s="42"/>
      <c r="S67" s="42"/>
      <c r="T67" s="42"/>
      <c r="U67" s="42"/>
      <c r="V67" s="42"/>
    </row>
    <row r="68" spans="2:22" x14ac:dyDescent="0.35">
      <c r="R68" s="42"/>
      <c r="S68" s="42"/>
      <c r="T68" s="42"/>
      <c r="U68" s="42"/>
      <c r="V68" s="42"/>
    </row>
    <row r="69" spans="2:22" x14ac:dyDescent="0.35">
      <c r="B69" s="60" t="s">
        <v>6</v>
      </c>
      <c r="C69" s="61"/>
      <c r="D69" s="61"/>
      <c r="E69" s="61"/>
      <c r="F69" s="61"/>
      <c r="G69" s="61"/>
      <c r="H69" s="62"/>
    </row>
    <row r="70" spans="2:22" x14ac:dyDescent="0.35">
      <c r="B70" s="46" t="s">
        <v>30</v>
      </c>
      <c r="C70" s="47"/>
      <c r="D70" s="47"/>
      <c r="E70" s="47"/>
      <c r="F70" s="47"/>
      <c r="G70" s="47"/>
      <c r="H70" s="48"/>
    </row>
    <row r="71" spans="2:22" x14ac:dyDescent="0.35">
      <c r="B71" s="7" t="s">
        <v>12</v>
      </c>
      <c r="C71" s="7" t="s">
        <v>13</v>
      </c>
      <c r="D71" s="7" t="s">
        <v>14</v>
      </c>
      <c r="E71" s="7" t="s">
        <v>15</v>
      </c>
      <c r="F71" s="7" t="s">
        <v>16</v>
      </c>
      <c r="G71" s="7" t="s">
        <v>17</v>
      </c>
      <c r="H71" s="7" t="s">
        <v>18</v>
      </c>
    </row>
    <row r="72" spans="2:22" x14ac:dyDescent="0.35">
      <c r="B72" s="7" t="s">
        <v>15</v>
      </c>
      <c r="C72" s="7">
        <v>0</v>
      </c>
      <c r="D72" s="10">
        <v>1</v>
      </c>
      <c r="E72" s="7">
        <v>3</v>
      </c>
      <c r="F72" s="7">
        <v>0</v>
      </c>
      <c r="G72" s="15">
        <v>-2</v>
      </c>
      <c r="H72" s="7">
        <v>6</v>
      </c>
    </row>
    <row r="73" spans="2:22" x14ac:dyDescent="0.35">
      <c r="B73" s="7" t="s">
        <v>16</v>
      </c>
      <c r="C73" s="7">
        <v>0</v>
      </c>
      <c r="D73" s="7">
        <v>0</v>
      </c>
      <c r="E73" s="7">
        <v>-7</v>
      </c>
      <c r="F73" s="24">
        <v>1</v>
      </c>
      <c r="G73" s="4">
        <v>4</v>
      </c>
      <c r="H73" s="7">
        <v>12</v>
      </c>
    </row>
    <row r="74" spans="2:22" x14ac:dyDescent="0.35">
      <c r="B74" s="7" t="s">
        <v>17</v>
      </c>
      <c r="C74" s="7">
        <v>1</v>
      </c>
      <c r="D74" s="10">
        <v>0</v>
      </c>
      <c r="E74" s="7">
        <v>-1</v>
      </c>
      <c r="F74" s="7">
        <v>0</v>
      </c>
      <c r="G74" s="15">
        <v>1</v>
      </c>
      <c r="H74" s="7">
        <v>6</v>
      </c>
    </row>
    <row r="75" spans="2:22" x14ac:dyDescent="0.35">
      <c r="B75" s="7" t="s">
        <v>19</v>
      </c>
      <c r="C75" s="7">
        <v>0</v>
      </c>
      <c r="D75" s="7">
        <v>0</v>
      </c>
      <c r="E75" s="7">
        <v>3</v>
      </c>
      <c r="F75" s="7">
        <v>0</v>
      </c>
      <c r="G75" s="3">
        <v>-1</v>
      </c>
      <c r="H75" s="7">
        <v>30</v>
      </c>
    </row>
    <row r="77" spans="2:22" x14ac:dyDescent="0.35">
      <c r="B77" s="43" t="s">
        <v>6</v>
      </c>
      <c r="C77" s="44"/>
      <c r="D77" s="44"/>
      <c r="E77" s="44"/>
      <c r="F77" s="44"/>
      <c r="G77" s="44"/>
      <c r="H77" s="45"/>
    </row>
    <row r="78" spans="2:22" x14ac:dyDescent="0.35">
      <c r="B78" s="51" t="s">
        <v>44</v>
      </c>
      <c r="C78" s="52"/>
      <c r="D78" s="52"/>
      <c r="E78" s="52"/>
      <c r="F78" s="52"/>
      <c r="G78" s="52"/>
      <c r="H78" s="53"/>
    </row>
    <row r="79" spans="2:22" x14ac:dyDescent="0.35">
      <c r="B79" s="2" t="s">
        <v>12</v>
      </c>
      <c r="C79" s="5" t="s">
        <v>13</v>
      </c>
      <c r="D79" s="2" t="s">
        <v>14</v>
      </c>
      <c r="E79" s="2" t="s">
        <v>15</v>
      </c>
      <c r="F79" s="2" t="s">
        <v>16</v>
      </c>
      <c r="G79" s="2" t="s">
        <v>17</v>
      </c>
      <c r="H79" s="5" t="s">
        <v>18</v>
      </c>
    </row>
    <row r="80" spans="2:22" x14ac:dyDescent="0.35">
      <c r="B80" s="2" t="s">
        <v>15</v>
      </c>
      <c r="C80" s="7">
        <v>0</v>
      </c>
      <c r="D80" s="10">
        <v>1</v>
      </c>
      <c r="E80" s="7">
        <v>3</v>
      </c>
      <c r="F80" s="7">
        <v>0</v>
      </c>
      <c r="G80" s="15">
        <v>-2</v>
      </c>
      <c r="H80" s="7">
        <v>6</v>
      </c>
      <c r="J80" s="1" t="s">
        <v>43</v>
      </c>
      <c r="K80" s="1">
        <v>-3</v>
      </c>
    </row>
    <row r="81" spans="2:22" x14ac:dyDescent="0.35">
      <c r="B81" s="2" t="s">
        <v>16</v>
      </c>
      <c r="C81" s="7">
        <v>0</v>
      </c>
      <c r="D81" s="7">
        <v>0</v>
      </c>
      <c r="E81" s="7">
        <v>-7</v>
      </c>
      <c r="F81" s="24">
        <v>1</v>
      </c>
      <c r="G81" s="3">
        <v>4</v>
      </c>
      <c r="H81" s="7">
        <v>12</v>
      </c>
      <c r="J81" s="25">
        <v>3</v>
      </c>
      <c r="K81" s="6">
        <v>3</v>
      </c>
    </row>
    <row r="82" spans="2:22" x14ac:dyDescent="0.35">
      <c r="B82" s="2" t="s">
        <v>17</v>
      </c>
      <c r="C82" s="7">
        <v>1</v>
      </c>
      <c r="D82" s="10">
        <v>0</v>
      </c>
      <c r="E82" s="7">
        <v>-1</v>
      </c>
      <c r="F82" s="7">
        <v>0</v>
      </c>
      <c r="G82" s="15">
        <v>1</v>
      </c>
      <c r="H82" s="7">
        <v>6</v>
      </c>
      <c r="J82" s="26">
        <v>6</v>
      </c>
      <c r="K82" s="27">
        <v>6</v>
      </c>
    </row>
    <row r="83" spans="2:22" x14ac:dyDescent="0.35">
      <c r="B83" s="2" t="s">
        <v>19</v>
      </c>
      <c r="C83" s="7">
        <v>0</v>
      </c>
      <c r="D83" s="7">
        <v>0</v>
      </c>
      <c r="E83" s="7">
        <v>3</v>
      </c>
      <c r="F83" s="7">
        <v>0</v>
      </c>
      <c r="G83" s="7">
        <v>-1</v>
      </c>
      <c r="H83" s="7">
        <v>30</v>
      </c>
    </row>
    <row r="85" spans="2:22" x14ac:dyDescent="0.35">
      <c r="B85" s="60" t="s">
        <v>6</v>
      </c>
      <c r="C85" s="61"/>
      <c r="D85" s="61"/>
      <c r="E85" s="61"/>
      <c r="F85" s="61"/>
      <c r="G85" s="61"/>
      <c r="H85" s="62"/>
      <c r="J85" s="60" t="s">
        <v>6</v>
      </c>
      <c r="K85" s="61"/>
      <c r="L85" s="61"/>
      <c r="M85" s="61"/>
      <c r="N85" s="61"/>
      <c r="O85" s="61"/>
      <c r="P85" s="62"/>
    </row>
    <row r="86" spans="2:22" x14ac:dyDescent="0.35">
      <c r="B86" s="46" t="s">
        <v>46</v>
      </c>
      <c r="C86" s="47"/>
      <c r="D86" s="47"/>
      <c r="E86" s="47"/>
      <c r="F86" s="47"/>
      <c r="G86" s="47"/>
      <c r="H86" s="48"/>
      <c r="J86" s="46" t="s">
        <v>26</v>
      </c>
      <c r="K86" s="47"/>
      <c r="L86" s="47"/>
      <c r="M86" s="47"/>
      <c r="N86" s="47"/>
      <c r="O86" s="47"/>
      <c r="P86" s="48"/>
      <c r="R86" s="29" t="s">
        <v>45</v>
      </c>
      <c r="S86" s="30"/>
      <c r="T86" s="30"/>
      <c r="U86" s="30"/>
      <c r="V86" s="31"/>
    </row>
    <row r="87" spans="2:22" x14ac:dyDescent="0.35">
      <c r="B87" s="7" t="s">
        <v>12</v>
      </c>
      <c r="C87" s="7" t="s">
        <v>13</v>
      </c>
      <c r="D87" s="7" t="s">
        <v>14</v>
      </c>
      <c r="E87" s="7" t="s">
        <v>15</v>
      </c>
      <c r="F87" s="7" t="s">
        <v>16</v>
      </c>
      <c r="G87" s="7" t="s">
        <v>17</v>
      </c>
      <c r="H87" s="7" t="s">
        <v>18</v>
      </c>
      <c r="J87" s="7" t="s">
        <v>12</v>
      </c>
      <c r="K87" s="7" t="s">
        <v>13</v>
      </c>
      <c r="L87" s="7" t="s">
        <v>14</v>
      </c>
      <c r="M87" s="7" t="s">
        <v>15</v>
      </c>
      <c r="N87" s="7" t="s">
        <v>16</v>
      </c>
      <c r="O87" s="7" t="s">
        <v>17</v>
      </c>
      <c r="P87" s="7" t="s">
        <v>18</v>
      </c>
      <c r="R87" s="32"/>
      <c r="S87" s="33"/>
      <c r="T87" s="33"/>
      <c r="U87" s="33"/>
      <c r="V87" s="34"/>
    </row>
    <row r="88" spans="2:22" x14ac:dyDescent="0.35">
      <c r="B88" s="7" t="s">
        <v>15</v>
      </c>
      <c r="C88" s="7">
        <v>0</v>
      </c>
      <c r="D88" s="10">
        <v>1</v>
      </c>
      <c r="E88" s="7">
        <v>3</v>
      </c>
      <c r="F88" s="7">
        <v>0</v>
      </c>
      <c r="G88" s="10">
        <v>-2</v>
      </c>
      <c r="H88" s="7">
        <v>6</v>
      </c>
      <c r="J88" s="7" t="s">
        <v>15</v>
      </c>
      <c r="K88" s="7">
        <v>0</v>
      </c>
      <c r="L88" s="10">
        <v>1</v>
      </c>
      <c r="M88" s="7">
        <v>3</v>
      </c>
      <c r="N88" s="7">
        <v>0</v>
      </c>
      <c r="O88" s="10">
        <v>-2</v>
      </c>
      <c r="P88" s="7">
        <v>6</v>
      </c>
      <c r="R88" s="54" t="s">
        <v>47</v>
      </c>
      <c r="S88" s="55"/>
      <c r="T88" s="55"/>
      <c r="U88" s="55"/>
      <c r="V88" s="56"/>
    </row>
    <row r="89" spans="2:22" x14ac:dyDescent="0.35">
      <c r="B89" s="11" t="s">
        <v>16</v>
      </c>
      <c r="C89" s="11">
        <v>0</v>
      </c>
      <c r="D89" s="11">
        <v>0</v>
      </c>
      <c r="E89" s="11">
        <v>-7</v>
      </c>
      <c r="F89" s="28">
        <v>1</v>
      </c>
      <c r="G89" s="11">
        <v>4</v>
      </c>
      <c r="H89" s="11">
        <v>12</v>
      </c>
      <c r="J89" s="11" t="s">
        <v>16</v>
      </c>
      <c r="K89" s="11">
        <v>0</v>
      </c>
      <c r="L89" s="11">
        <v>0</v>
      </c>
      <c r="M89" s="11">
        <f>-7 / 4</f>
        <v>-1.75</v>
      </c>
      <c r="N89" s="28">
        <v>0.25</v>
      </c>
      <c r="O89" s="11">
        <v>1</v>
      </c>
      <c r="P89" s="11">
        <v>3</v>
      </c>
      <c r="R89" s="57"/>
      <c r="S89" s="58"/>
      <c r="T89" s="58"/>
      <c r="U89" s="58"/>
      <c r="V89" s="59"/>
    </row>
    <row r="90" spans="2:22" x14ac:dyDescent="0.35">
      <c r="B90" s="7" t="s">
        <v>17</v>
      </c>
      <c r="C90" s="7">
        <v>1</v>
      </c>
      <c r="D90" s="10">
        <v>0</v>
      </c>
      <c r="E90" s="7">
        <v>-1</v>
      </c>
      <c r="F90" s="7">
        <v>0</v>
      </c>
      <c r="G90" s="10">
        <v>1</v>
      </c>
      <c r="H90" s="7">
        <v>6</v>
      </c>
      <c r="J90" s="7" t="s">
        <v>17</v>
      </c>
      <c r="K90" s="7">
        <v>1</v>
      </c>
      <c r="L90" s="10">
        <v>0</v>
      </c>
      <c r="M90" s="7">
        <v>-1</v>
      </c>
      <c r="N90" s="7">
        <v>0</v>
      </c>
      <c r="O90" s="10">
        <v>1</v>
      </c>
      <c r="P90" s="7">
        <v>6</v>
      </c>
    </row>
    <row r="91" spans="2:22" x14ac:dyDescent="0.35">
      <c r="B91" s="7" t="s">
        <v>19</v>
      </c>
      <c r="C91" s="7">
        <v>0</v>
      </c>
      <c r="D91" s="7">
        <v>0</v>
      </c>
      <c r="E91" s="7">
        <v>3</v>
      </c>
      <c r="F91" s="7">
        <v>0</v>
      </c>
      <c r="G91" s="7">
        <v>-1</v>
      </c>
      <c r="H91" s="7">
        <v>30</v>
      </c>
      <c r="J91" s="7" t="s">
        <v>19</v>
      </c>
      <c r="K91" s="7">
        <v>0</v>
      </c>
      <c r="L91" s="7">
        <v>0</v>
      </c>
      <c r="M91" s="7">
        <v>3</v>
      </c>
      <c r="N91" s="7">
        <v>0</v>
      </c>
      <c r="O91" s="7">
        <v>-1</v>
      </c>
      <c r="P91" s="7">
        <v>30</v>
      </c>
    </row>
    <row r="93" spans="2:22" x14ac:dyDescent="0.35">
      <c r="B93" s="43" t="s">
        <v>6</v>
      </c>
      <c r="C93" s="44"/>
      <c r="D93" s="44"/>
      <c r="E93" s="44"/>
      <c r="F93" s="44"/>
      <c r="G93" s="44"/>
      <c r="H93" s="45"/>
      <c r="J93" s="43" t="s">
        <v>6</v>
      </c>
      <c r="K93" s="44"/>
      <c r="L93" s="44"/>
      <c r="M93" s="44"/>
      <c r="N93" s="44"/>
      <c r="O93" s="44"/>
      <c r="P93" s="45"/>
      <c r="R93" s="29" t="s">
        <v>31</v>
      </c>
      <c r="S93" s="30"/>
      <c r="T93" s="30"/>
      <c r="U93" s="30"/>
      <c r="V93" s="31"/>
    </row>
    <row r="94" spans="2:22" x14ac:dyDescent="0.35">
      <c r="B94" s="46" t="s">
        <v>30</v>
      </c>
      <c r="C94" s="47"/>
      <c r="D94" s="47"/>
      <c r="E94" s="47"/>
      <c r="F94" s="47"/>
      <c r="G94" s="47"/>
      <c r="H94" s="48"/>
      <c r="J94" s="46" t="s">
        <v>30</v>
      </c>
      <c r="K94" s="47"/>
      <c r="L94" s="47"/>
      <c r="M94" s="47"/>
      <c r="N94" s="47"/>
      <c r="O94" s="47"/>
      <c r="P94" s="48"/>
      <c r="R94" s="32"/>
      <c r="S94" s="33"/>
      <c r="T94" s="33"/>
      <c r="U94" s="33"/>
      <c r="V94" s="34"/>
    </row>
    <row r="95" spans="2:22" x14ac:dyDescent="0.35">
      <c r="B95" s="7" t="s">
        <v>12</v>
      </c>
      <c r="C95" s="11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J95" s="7" t="s">
        <v>12</v>
      </c>
      <c r="K95" s="11" t="s">
        <v>13</v>
      </c>
      <c r="L95" s="7" t="s">
        <v>14</v>
      </c>
      <c r="M95" s="7" t="s">
        <v>15</v>
      </c>
      <c r="N95" s="7" t="s">
        <v>16</v>
      </c>
      <c r="O95" s="7" t="s">
        <v>17</v>
      </c>
      <c r="P95" s="7" t="s">
        <v>18</v>
      </c>
      <c r="R95" s="35" t="s">
        <v>48</v>
      </c>
      <c r="S95" s="36"/>
      <c r="T95" s="36"/>
      <c r="U95" s="36"/>
      <c r="V95" s="37"/>
    </row>
    <row r="96" spans="2:22" x14ac:dyDescent="0.35">
      <c r="B96" s="7" t="s">
        <v>15</v>
      </c>
      <c r="C96" s="7">
        <v>0</v>
      </c>
      <c r="D96" s="10">
        <v>1</v>
      </c>
      <c r="E96" s="7">
        <v>3</v>
      </c>
      <c r="F96" s="7">
        <v>0</v>
      </c>
      <c r="G96" s="10">
        <v>-2</v>
      </c>
      <c r="H96" s="7">
        <v>6</v>
      </c>
      <c r="J96" s="7" t="s">
        <v>13</v>
      </c>
      <c r="K96" s="12">
        <v>1</v>
      </c>
      <c r="L96" s="13">
        <v>0</v>
      </c>
      <c r="M96" s="12">
        <f>3/4</f>
        <v>0.75</v>
      </c>
      <c r="N96" s="12">
        <f>-1/4</f>
        <v>-0.25</v>
      </c>
      <c r="O96" s="13">
        <v>0</v>
      </c>
      <c r="P96" s="12">
        <v>3</v>
      </c>
      <c r="R96" s="38"/>
      <c r="S96" s="39"/>
      <c r="T96" s="39"/>
      <c r="U96" s="39"/>
      <c r="V96" s="40"/>
    </row>
    <row r="97" spans="2:22" x14ac:dyDescent="0.35">
      <c r="B97" s="7" t="s">
        <v>16</v>
      </c>
      <c r="C97" s="11">
        <v>0</v>
      </c>
      <c r="D97" s="11">
        <v>0</v>
      </c>
      <c r="E97" s="11">
        <f>-7 / 4</f>
        <v>-1.75</v>
      </c>
      <c r="F97" s="28">
        <v>0.25</v>
      </c>
      <c r="G97" s="11">
        <v>1</v>
      </c>
      <c r="H97" s="11">
        <v>3</v>
      </c>
      <c r="J97" s="7" t="s">
        <v>17</v>
      </c>
      <c r="K97" s="11">
        <v>0</v>
      </c>
      <c r="L97" s="11">
        <v>0</v>
      </c>
      <c r="M97" s="11">
        <f>-7 / 4</f>
        <v>-1.75</v>
      </c>
      <c r="N97" s="28">
        <v>0.25</v>
      </c>
      <c r="O97" s="11">
        <v>1</v>
      </c>
      <c r="P97" s="11">
        <v>3</v>
      </c>
      <c r="R97" s="41" t="s">
        <v>49</v>
      </c>
      <c r="S97" s="41"/>
      <c r="T97" s="41"/>
      <c r="U97" s="41"/>
      <c r="V97" s="41"/>
    </row>
    <row r="98" spans="2:22" x14ac:dyDescent="0.35">
      <c r="B98" s="7" t="s">
        <v>17</v>
      </c>
      <c r="C98" s="7">
        <v>1</v>
      </c>
      <c r="D98" s="10">
        <v>0</v>
      </c>
      <c r="E98" s="7">
        <v>-1</v>
      </c>
      <c r="F98" s="7">
        <v>0</v>
      </c>
      <c r="G98" s="10">
        <v>1</v>
      </c>
      <c r="H98" s="7">
        <v>6</v>
      </c>
      <c r="J98" s="7" t="s">
        <v>14</v>
      </c>
      <c r="K98" s="7" t="s">
        <v>50</v>
      </c>
      <c r="L98" s="10">
        <v>1</v>
      </c>
      <c r="M98" s="7">
        <v>1.5</v>
      </c>
      <c r="N98" s="7">
        <v>0.5</v>
      </c>
      <c r="O98" s="10">
        <v>0</v>
      </c>
      <c r="P98" s="7">
        <v>12</v>
      </c>
      <c r="R98" s="41"/>
      <c r="S98" s="41"/>
      <c r="T98" s="41"/>
      <c r="U98" s="41"/>
      <c r="V98" s="41"/>
    </row>
    <row r="99" spans="2:22" x14ac:dyDescent="0.35">
      <c r="B99" s="7" t="s">
        <v>19</v>
      </c>
      <c r="C99" s="7">
        <v>0</v>
      </c>
      <c r="D99" s="7">
        <v>0</v>
      </c>
      <c r="E99" s="7">
        <v>3</v>
      </c>
      <c r="F99" s="7">
        <v>0</v>
      </c>
      <c r="G99" s="7">
        <v>-1</v>
      </c>
      <c r="H99" s="7">
        <v>30</v>
      </c>
      <c r="J99" s="7" t="s">
        <v>19</v>
      </c>
      <c r="K99" s="14">
        <v>0</v>
      </c>
      <c r="L99" s="14">
        <v>0</v>
      </c>
      <c r="M99" s="14">
        <f>5/4</f>
        <v>1.25</v>
      </c>
      <c r="N99" s="14">
        <v>0.25</v>
      </c>
      <c r="O99" s="14">
        <v>0</v>
      </c>
      <c r="P99" s="14">
        <v>33</v>
      </c>
      <c r="R99" s="42"/>
      <c r="S99" s="42"/>
      <c r="T99" s="42"/>
      <c r="U99" s="42"/>
      <c r="V99" s="42"/>
    </row>
    <row r="100" spans="2:22" x14ac:dyDescent="0.35">
      <c r="R100" s="42"/>
      <c r="S100" s="42"/>
      <c r="T100" s="42"/>
      <c r="U100" s="42"/>
      <c r="V100" s="42"/>
    </row>
  </sheetData>
  <mergeCells count="63">
    <mergeCell ref="R88:V89"/>
    <mergeCell ref="B78:H78"/>
    <mergeCell ref="B85:H85"/>
    <mergeCell ref="B86:H86"/>
    <mergeCell ref="J85:P85"/>
    <mergeCell ref="J86:P86"/>
    <mergeCell ref="R86:V87"/>
    <mergeCell ref="B77:H77"/>
    <mergeCell ref="R55:V56"/>
    <mergeCell ref="R57:V58"/>
    <mergeCell ref="B61:H61"/>
    <mergeCell ref="J61:P61"/>
    <mergeCell ref="R61:V62"/>
    <mergeCell ref="B62:H62"/>
    <mergeCell ref="J62:P62"/>
    <mergeCell ref="R63:V64"/>
    <mergeCell ref="R65:V66"/>
    <mergeCell ref="R67:V68"/>
    <mergeCell ref="B69:H69"/>
    <mergeCell ref="B70:H70"/>
    <mergeCell ref="B53:H53"/>
    <mergeCell ref="J53:P53"/>
    <mergeCell ref="B54:H54"/>
    <mergeCell ref="J54:P54"/>
    <mergeCell ref="R39:V40"/>
    <mergeCell ref="R41:V42"/>
    <mergeCell ref="R43:V44"/>
    <mergeCell ref="B45:H45"/>
    <mergeCell ref="B46:H46"/>
    <mergeCell ref="J45:P45"/>
    <mergeCell ref="J46:P46"/>
    <mergeCell ref="B38:H38"/>
    <mergeCell ref="J37:P37"/>
    <mergeCell ref="J38:P38"/>
    <mergeCell ref="R37:V38"/>
    <mergeCell ref="B22:H22"/>
    <mergeCell ref="B29:H29"/>
    <mergeCell ref="B30:H30"/>
    <mergeCell ref="R31:V32"/>
    <mergeCell ref="R33:V34"/>
    <mergeCell ref="J29:P29"/>
    <mergeCell ref="J30:P30"/>
    <mergeCell ref="B37:H37"/>
    <mergeCell ref="B14:H14"/>
    <mergeCell ref="B13:H13"/>
    <mergeCell ref="J13:P13"/>
    <mergeCell ref="J14:P14"/>
    <mergeCell ref="B21:H21"/>
    <mergeCell ref="B11:E11"/>
    <mergeCell ref="C4:D4"/>
    <mergeCell ref="B7:E7"/>
    <mergeCell ref="B6:E6"/>
    <mergeCell ref="B8:E8"/>
    <mergeCell ref="B9:E9"/>
    <mergeCell ref="B10:E10"/>
    <mergeCell ref="R93:V94"/>
    <mergeCell ref="R95:V96"/>
    <mergeCell ref="R97:V98"/>
    <mergeCell ref="R99:V100"/>
    <mergeCell ref="B93:H93"/>
    <mergeCell ref="J93:P93"/>
    <mergeCell ref="B94:H94"/>
    <mergeCell ref="J94:P9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D5CD-8F2E-4F8F-98A7-2DC4C17A7C89}">
  <dimension ref="A1"/>
  <sheetViews>
    <sheetView topLeftCell="A15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D673084B29B429936277699C20EF8" ma:contentTypeVersion="14" ma:contentTypeDescription="Create a new document." ma:contentTypeScope="" ma:versionID="44bbbff63bf7a46773e78fcb6809408c">
  <xsd:schema xmlns:xsd="http://www.w3.org/2001/XMLSchema" xmlns:xs="http://www.w3.org/2001/XMLSchema" xmlns:p="http://schemas.microsoft.com/office/2006/metadata/properties" xmlns:ns3="2510d7ae-cc23-45a7-92bd-81a98ce4d3f3" xmlns:ns4="1adbf6ae-c8b7-47f2-8869-a68fffd99b58" targetNamespace="http://schemas.microsoft.com/office/2006/metadata/properties" ma:root="true" ma:fieldsID="884f68efcba8a1464ead443cd2ccae1d" ns3:_="" ns4:_="">
    <xsd:import namespace="2510d7ae-cc23-45a7-92bd-81a98ce4d3f3"/>
    <xsd:import namespace="1adbf6ae-c8b7-47f2-8869-a68fffd99b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0d7ae-cc23-45a7-92bd-81a98ce4d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bf6ae-c8b7-47f2-8869-a68fffd99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10d7ae-cc23-45a7-92bd-81a98ce4d3f3" xsi:nil="true"/>
  </documentManagement>
</p:properties>
</file>

<file path=customXml/itemProps1.xml><?xml version="1.0" encoding="utf-8"?>
<ds:datastoreItem xmlns:ds="http://schemas.openxmlformats.org/officeDocument/2006/customXml" ds:itemID="{187E9405-F53B-435B-BC83-B229CE1B3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10d7ae-cc23-45a7-92bd-81a98ce4d3f3"/>
    <ds:schemaRef ds:uri="1adbf6ae-c8b7-47f2-8869-a68fffd99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E51EFA-F7AB-45CF-A623-C364B921B8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5D6069-2507-472D-AB25-C69670F89DBE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2510d7ae-cc23-45a7-92bd-81a98ce4d3f3"/>
    <ds:schemaRef ds:uri="http://purl.org/dc/terms/"/>
    <ds:schemaRef ds:uri="http://purl.org/dc/elements/1.1/"/>
    <ds:schemaRef ds:uri="http://schemas.microsoft.com/office/infopath/2007/PartnerControls"/>
    <ds:schemaRef ds:uri="1adbf6ae-c8b7-47f2-8869-a68fffd99b5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Ejemplo</vt:lpstr>
      <vt:lpstr>PUNTO1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Katheryn Sofia Guasca Chavarro</dc:creator>
  <cp:lastModifiedBy>Katheryn Sofia Guasca Chavarro</cp:lastModifiedBy>
  <dcterms:created xsi:type="dcterms:W3CDTF">2026-02-21T20:02:16Z</dcterms:created>
  <dcterms:modified xsi:type="dcterms:W3CDTF">2026-02-23T12:07:50Z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0x0101001C8D673084B29B429936277699C20EF8</vt:lpwstr>
  </property>
</Properties>
</file>